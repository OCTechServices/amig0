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Key" sheetId="1" r:id="rId4"/>
    <sheet state="visible" name="Baseline" sheetId="2" r:id="rId5"/>
    <sheet state="visible" name="1_Data" sheetId="3" r:id="rId6"/>
    <sheet state="visible" name="2_Results" sheetId="4" r:id="rId7"/>
  </sheets>
  <definedNames/>
  <calcPr/>
  <extLst>
    <ext uri="GoogleSheetsCustomDataVersion2">
      <go:sheetsCustomData xmlns:go="http://customooxmlschemas.google.com/" r:id="rId8" roundtripDataChecksum="c0MGYNtsUXCWFSBELrtwfmL1D2vptC0RdhsPMcXhnsI="/>
    </ext>
  </extLst>
</workbook>
</file>

<file path=xl/sharedStrings.xml><?xml version="1.0" encoding="utf-8"?>
<sst xmlns="http://schemas.openxmlformats.org/spreadsheetml/2006/main" count="3118" uniqueCount="72">
  <si>
    <t>Priority</t>
  </si>
  <si>
    <t>Type</t>
  </si>
  <si>
    <t>Description</t>
  </si>
  <si>
    <t>Frequency</t>
  </si>
  <si>
    <t>Day</t>
  </si>
  <si>
    <t>Date</t>
  </si>
  <si>
    <t>Status</t>
  </si>
  <si>
    <t>Portal</t>
  </si>
  <si>
    <t>X</t>
  </si>
  <si>
    <t>Prerequisite</t>
  </si>
  <si>
    <t>Prerequisite Status</t>
  </si>
  <si>
    <t>High</t>
  </si>
  <si>
    <t>%</t>
  </si>
  <si>
    <t>Professional</t>
  </si>
  <si>
    <t>AI Practitioner / Certifications</t>
  </si>
  <si>
    <t>Daily</t>
  </si>
  <si>
    <t>Weeks Since Start</t>
  </si>
  <si>
    <t>Completed</t>
  </si>
  <si>
    <t>AWS Certification</t>
  </si>
  <si>
    <t>Onboarding</t>
  </si>
  <si>
    <t>Health</t>
  </si>
  <si>
    <t>Speed Ball / Bike / Run</t>
  </si>
  <si>
    <t>N/A</t>
  </si>
  <si>
    <t>Equipment</t>
  </si>
  <si>
    <t>Corporate</t>
  </si>
  <si>
    <t>Project Health</t>
  </si>
  <si>
    <t>Home | Salesforce</t>
  </si>
  <si>
    <t>Medium</t>
  </si>
  <si>
    <t>Mental</t>
  </si>
  <si>
    <t>Journaling</t>
  </si>
  <si>
    <t>Weekly</t>
  </si>
  <si>
    <t>Wed</t>
  </si>
  <si>
    <t>S3</t>
  </si>
  <si>
    <t>Directory</t>
  </si>
  <si>
    <t>Horticultural</t>
  </si>
  <si>
    <t>Water Plants</t>
  </si>
  <si>
    <t>Fri</t>
  </si>
  <si>
    <t>Not Started</t>
  </si>
  <si>
    <t>H2O</t>
  </si>
  <si>
    <t>Creative</t>
  </si>
  <si>
    <t>SmallBiz / Media Production</t>
  </si>
  <si>
    <t>Fri-Mon</t>
  </si>
  <si>
    <t>Weeks Remaining</t>
  </si>
  <si>
    <t>OpenAI / YouTube</t>
  </si>
  <si>
    <t>Media Tools</t>
  </si>
  <si>
    <t>Extracurricular</t>
  </si>
  <si>
    <t>Drone</t>
  </si>
  <si>
    <t>Sat</t>
  </si>
  <si>
    <t>YouTube</t>
  </si>
  <si>
    <t>Channel</t>
  </si>
  <si>
    <t>Days Since Start</t>
  </si>
  <si>
    <t>Family</t>
  </si>
  <si>
    <t>Breakfast / Lunch / Dinner</t>
  </si>
  <si>
    <t>Sun</t>
  </si>
  <si>
    <t>Availability</t>
  </si>
  <si>
    <t>Travel</t>
  </si>
  <si>
    <t>Q1 '25 - Q3 '25 APAC Trip</t>
  </si>
  <si>
    <t>Hopper / Airbnb</t>
  </si>
  <si>
    <t>Spiritual</t>
  </si>
  <si>
    <t>Church / Philanthropy / Charity</t>
  </si>
  <si>
    <t>Days Remaining</t>
  </si>
  <si>
    <t>Bi-Weekly</t>
  </si>
  <si>
    <t>F</t>
  </si>
  <si>
    <t>Goal (# of days)</t>
  </si>
  <si>
    <t>Progress</t>
  </si>
  <si>
    <t>Buffer (days)</t>
  </si>
  <si>
    <t>NS</t>
  </si>
  <si>
    <t>C</t>
  </si>
  <si>
    <t>Description | Day</t>
  </si>
  <si>
    <t>Subtotal</t>
  </si>
  <si>
    <t>Today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</si>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</sst>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[$-409]dddd"/>
    <numFmt numFmtId="166" formatCode="[$-409]d\-mmm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44546A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9C5700"/>
      <name val="Calibri"/>
    </font>
    <font>
      <sz val="11.0"/>
      <color rgb="FF0061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164" xfId="0" applyFont="1" applyNumberFormat="1"/>
    <xf borderId="0" fillId="0" fontId="2" numFmtId="0" xfId="0" applyFont="1"/>
    <xf borderId="0" fillId="0" fontId="5" numFmtId="14" xfId="0" applyAlignment="1" applyFont="1" applyNumberFormat="1">
      <alignment horizontal="left"/>
    </xf>
    <xf borderId="0" fillId="0" fontId="4" numFmtId="16" xfId="0" applyFont="1" applyNumberFormat="1"/>
    <xf borderId="0" fillId="0" fontId="4" numFmtId="10" xfId="0" applyFont="1" applyNumberForma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4" numFmtId="0" xfId="0" applyAlignment="1" applyFont="1">
      <alignment horizontal="right" vertical="center"/>
    </xf>
    <xf borderId="0" fillId="0" fontId="4" numFmtId="165" xfId="0" applyFont="1" applyNumberFormat="1"/>
    <xf borderId="1" fillId="0" fontId="1" numFmtId="0" xfId="0" applyBorder="1" applyFont="1"/>
    <xf borderId="1" fillId="0" fontId="4" numFmtId="0" xfId="0" applyBorder="1" applyFont="1"/>
    <xf borderId="2" fillId="2" fontId="6" numFmtId="166" xfId="0" applyBorder="1" applyFill="1" applyFont="1" applyNumberFormat="1"/>
    <xf borderId="0" fillId="0" fontId="4" numFmtId="0" xfId="0" applyAlignment="1" applyFont="1">
      <alignment horizontal="right"/>
    </xf>
    <xf borderId="2" fillId="3" fontId="7" numFmtId="0" xfId="0" applyBorder="1" applyFill="1" applyFont="1"/>
    <xf borderId="2" fillId="4" fontId="8" numFmtId="0" xfId="0" applyBorder="1" applyFill="1" applyFont="1"/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5"/>
      </font>
      <fill>
        <patternFill patternType="solid">
          <fgColor rgb="FF3A3838"/>
          <bgColor rgb="FF3A3838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theme="5"/>
      </font>
      <fill>
        <patternFill patternType="solid">
          <fgColor rgb="FF2F5496"/>
          <bgColor rgb="FF2F549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workbookViewId="0"/>
  </sheetViews>
  <sheetFormatPr customHeight="1" defaultColWidth="14.43" defaultRowHeight="15.0" outlineLevelCol="1"/>
  <cols>
    <col customWidth="1" min="1" max="1" width="8.14"/>
    <col customWidth="1" min="2" max="2" width="14.14"/>
    <col customWidth="1" min="3" max="3" width="28.43"/>
    <col customWidth="1" min="4" max="4" width="10.0"/>
    <col customWidth="1" min="5" max="5" width="8.0"/>
    <col customWidth="1" min="6" max="6" width="9.43"/>
    <col customWidth="1" min="7" max="7" width="10.71"/>
    <col customWidth="1" min="8" max="8" width="17.43"/>
    <col customWidth="1" min="9" max="9" width="11.71"/>
    <col customWidth="1" min="10" max="10" width="17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>
      <c r="A2" s="3" t="s">
        <v>11</v>
      </c>
      <c r="B2" s="3" t="s">
        <v>13</v>
      </c>
      <c r="C2" s="3" t="s">
        <v>14</v>
      </c>
      <c r="D2" s="3" t="s">
        <v>15</v>
      </c>
      <c r="E2" s="3" t="s">
        <v>15</v>
      </c>
      <c r="F2" s="4">
        <v>45658.0</v>
      </c>
      <c r="G2" s="3" t="s">
        <v>17</v>
      </c>
      <c r="H2" s="3" t="s">
        <v>18</v>
      </c>
      <c r="I2" s="3" t="s">
        <v>19</v>
      </c>
      <c r="J2" s="3" t="s">
        <v>17</v>
      </c>
    </row>
    <row r="3">
      <c r="A3" s="3" t="s">
        <v>11</v>
      </c>
      <c r="B3" s="3" t="s">
        <v>20</v>
      </c>
      <c r="C3" s="3" t="s">
        <v>21</v>
      </c>
      <c r="D3" s="3" t="s">
        <v>15</v>
      </c>
      <c r="E3" s="3" t="s">
        <v>15</v>
      </c>
      <c r="F3" s="4">
        <v>45658.0</v>
      </c>
      <c r="G3" s="3" t="s">
        <v>17</v>
      </c>
      <c r="H3" s="3" t="s">
        <v>22</v>
      </c>
      <c r="I3" s="3" t="s">
        <v>23</v>
      </c>
      <c r="J3" s="3" t="s">
        <v>17</v>
      </c>
    </row>
    <row r="4">
      <c r="A4" s="3" t="s">
        <v>11</v>
      </c>
      <c r="B4" s="3" t="s">
        <v>24</v>
      </c>
      <c r="C4" s="3" t="s">
        <v>25</v>
      </c>
      <c r="D4" s="3" t="s">
        <v>15</v>
      </c>
      <c r="E4" s="3" t="s">
        <v>15</v>
      </c>
      <c r="F4" s="4">
        <v>45658.0</v>
      </c>
      <c r="G4" s="3" t="s">
        <v>17</v>
      </c>
      <c r="H4" s="3" t="s">
        <v>26</v>
      </c>
      <c r="I4" s="3" t="s">
        <v>19</v>
      </c>
      <c r="J4" s="3" t="s">
        <v>17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>
        <v>45658.0</v>
      </c>
      <c r="G5" s="3" t="s">
        <v>17</v>
      </c>
      <c r="H5" s="3" t="s">
        <v>32</v>
      </c>
      <c r="I5" s="3" t="s">
        <v>33</v>
      </c>
      <c r="J5" s="3" t="s">
        <v>17</v>
      </c>
    </row>
    <row r="6">
      <c r="A6" s="3" t="s">
        <v>27</v>
      </c>
      <c r="B6" s="3" t="s">
        <v>34</v>
      </c>
      <c r="C6" s="3" t="s">
        <v>35</v>
      </c>
      <c r="D6" s="3" t="s">
        <v>30</v>
      </c>
      <c r="E6" s="3" t="s">
        <v>36</v>
      </c>
      <c r="F6" s="4">
        <v>45660.0</v>
      </c>
      <c r="G6" s="3" t="s">
        <v>37</v>
      </c>
      <c r="H6" s="3" t="s">
        <v>22</v>
      </c>
      <c r="I6" s="3" t="s">
        <v>38</v>
      </c>
      <c r="J6" s="3" t="s">
        <v>17</v>
      </c>
    </row>
    <row r="7">
      <c r="A7" s="3" t="s">
        <v>27</v>
      </c>
      <c r="B7" s="3" t="s">
        <v>39</v>
      </c>
      <c r="C7" s="3" t="s">
        <v>40</v>
      </c>
      <c r="D7" s="3" t="s">
        <v>30</v>
      </c>
      <c r="E7" s="3" t="s">
        <v>41</v>
      </c>
      <c r="F7" s="4">
        <v>45661.0</v>
      </c>
      <c r="G7" s="3" t="s">
        <v>37</v>
      </c>
      <c r="H7" s="3" t="s">
        <v>43</v>
      </c>
      <c r="I7" s="3" t="s">
        <v>44</v>
      </c>
      <c r="J7" s="3" t="s">
        <v>17</v>
      </c>
    </row>
    <row r="8">
      <c r="A8" s="3" t="s">
        <v>27</v>
      </c>
      <c r="B8" s="3" t="s">
        <v>45</v>
      </c>
      <c r="C8" s="3" t="s">
        <v>46</v>
      </c>
      <c r="D8" s="3" t="s">
        <v>30</v>
      </c>
      <c r="E8" s="3" t="s">
        <v>47</v>
      </c>
      <c r="F8" s="4">
        <v>45661.0</v>
      </c>
      <c r="G8" s="3" t="s">
        <v>37</v>
      </c>
      <c r="H8" s="3" t="s">
        <v>48</v>
      </c>
      <c r="I8" s="3" t="s">
        <v>49</v>
      </c>
      <c r="J8" s="3" t="s">
        <v>17</v>
      </c>
    </row>
    <row r="9">
      <c r="A9" s="3" t="s">
        <v>11</v>
      </c>
      <c r="B9" s="3" t="s">
        <v>51</v>
      </c>
      <c r="C9" s="3" t="s">
        <v>52</v>
      </c>
      <c r="D9" s="3" t="s">
        <v>30</v>
      </c>
      <c r="E9" s="3" t="s">
        <v>53</v>
      </c>
      <c r="F9" s="4">
        <v>45662.0</v>
      </c>
      <c r="G9" s="3" t="s">
        <v>37</v>
      </c>
      <c r="H9" s="3" t="s">
        <v>22</v>
      </c>
      <c r="I9" s="3" t="s">
        <v>54</v>
      </c>
      <c r="J9" s="3" t="s">
        <v>17</v>
      </c>
    </row>
    <row r="10">
      <c r="A10" s="3" t="s">
        <v>27</v>
      </c>
      <c r="B10" s="3" t="s">
        <v>55</v>
      </c>
      <c r="C10" s="3" t="s">
        <v>56</v>
      </c>
      <c r="D10" s="3" t="s">
        <v>30</v>
      </c>
      <c r="E10" s="3" t="s">
        <v>53</v>
      </c>
      <c r="F10" s="4">
        <v>45662.0</v>
      </c>
      <c r="G10" s="3" t="s">
        <v>37</v>
      </c>
      <c r="H10" s="3" t="s">
        <v>57</v>
      </c>
      <c r="I10" s="3" t="s">
        <v>19</v>
      </c>
      <c r="J10" s="3" t="s">
        <v>17</v>
      </c>
    </row>
    <row r="11">
      <c r="A11" s="3" t="s">
        <v>27</v>
      </c>
      <c r="B11" s="3" t="s">
        <v>58</v>
      </c>
      <c r="C11" s="3" t="s">
        <v>59</v>
      </c>
      <c r="D11" s="3" t="s">
        <v>61</v>
      </c>
      <c r="E11" s="3" t="s">
        <v>53</v>
      </c>
      <c r="F11" s="4">
        <v>45662.0</v>
      </c>
      <c r="G11" s="3" t="s">
        <v>37</v>
      </c>
      <c r="H11" s="3" t="s">
        <v>22</v>
      </c>
      <c r="I11" s="3" t="s">
        <v>19</v>
      </c>
      <c r="J11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 outlineLevelCol="1"/>
  <cols>
    <col customWidth="1" min="1" max="1" width="11.0"/>
    <col customWidth="1" min="2" max="2" width="13.86"/>
    <col customWidth="1" min="3" max="3" width="10.29"/>
    <col customWidth="1" min="4" max="4" width="5.43"/>
    <col customWidth="1" min="5" max="5" width="28.86"/>
    <col customWidth="1" min="6" max="6" width="11.43" outlineLevel="1"/>
    <col customWidth="1" min="7" max="11" width="8.71" outlineLevel="1"/>
    <col customWidth="1" min="12" max="12" width="8.29" outlineLevel="1"/>
    <col customWidth="1" min="13" max="13" width="11.43" outlineLevel="1"/>
    <col customWidth="1" min="14" max="14" width="9.0" outlineLevel="1"/>
    <col customWidth="1" min="15" max="15" width="6.57" outlineLevel="1"/>
    <col customWidth="1" min="16" max="16" width="8.71" outlineLevel="1"/>
    <col customWidth="1" min="17" max="17" width="7.43" outlineLevel="1"/>
    <col customWidth="1" min="18" max="18" width="8.14" outlineLevel="1"/>
    <col customWidth="1" min="19" max="19" width="8.29" outlineLevel="1"/>
    <col customWidth="1" min="20" max="20" width="11.43" outlineLevel="1"/>
    <col customWidth="1" min="21" max="21" width="9.0" outlineLevel="1"/>
    <col customWidth="1" min="22" max="22" width="6.57" outlineLevel="1"/>
    <col customWidth="1" min="23" max="23" width="8.71" outlineLevel="1"/>
    <col customWidth="1" min="24" max="24" width="7.43" outlineLevel="1"/>
    <col customWidth="1" min="25" max="25" width="8.14" outlineLevel="1"/>
    <col customWidth="1" min="26" max="26" width="8.29" outlineLevel="1"/>
    <col customWidth="1" min="27" max="27" width="11.43" outlineLevel="1"/>
    <col customWidth="1" min="28" max="28" width="9.0" outlineLevel="1"/>
    <col customWidth="1" min="29" max="29" width="6.57" outlineLevel="1"/>
    <col customWidth="1" min="30" max="30" width="8.71" outlineLevel="1"/>
    <col customWidth="1" min="31" max="31" width="7.43" outlineLevel="1"/>
    <col customWidth="1" min="32" max="32" width="8.14" outlineLevel="1"/>
    <col customWidth="1" min="33" max="33" width="8.29" outlineLevel="1"/>
    <col customWidth="1" min="34" max="34" width="11.43" outlineLevel="1"/>
    <col customWidth="1" min="35" max="35" width="9.0" outlineLevel="1"/>
    <col customWidth="1" min="36" max="36" width="6.57" outlineLevel="1"/>
    <col customWidth="1" min="37" max="37" width="8.71" outlineLevel="1"/>
    <col customWidth="1" min="38" max="38" width="7.43" outlineLevel="1"/>
    <col customWidth="1" min="39" max="39" width="8.14" outlineLevel="1"/>
    <col customWidth="1" min="40" max="40" width="8.29" outlineLevel="1"/>
    <col customWidth="1" min="41" max="41" width="11.43" outlineLevel="1"/>
    <col customWidth="1" min="42" max="42" width="9.0" outlineLevel="1"/>
    <col customWidth="1" min="43" max="43" width="6.43" outlineLevel="1"/>
    <col customWidth="1" min="44" max="44" width="8.71" outlineLevel="1"/>
    <col customWidth="1" min="45" max="45" width="7.43" outlineLevel="1"/>
    <col customWidth="1" min="46" max="46" width="8.14" outlineLevel="1"/>
    <col customWidth="1" min="47" max="47" width="8.29" outlineLevel="1"/>
    <col customWidth="1" min="48" max="48" width="11.43" outlineLevel="1"/>
    <col customWidth="1" min="49" max="49" width="9.0" outlineLevel="1"/>
    <col customWidth="1" min="50" max="50" width="7.0" outlineLevel="1"/>
    <col customWidth="1" min="51" max="51" width="8.71" outlineLevel="1"/>
    <col customWidth="1" min="52" max="52" width="7.43" outlineLevel="1"/>
    <col customWidth="1" min="53" max="53" width="8.14" outlineLevel="1"/>
    <col customWidth="1" min="54" max="54" width="8.29" outlineLevel="1"/>
    <col customWidth="1" min="55" max="55" width="11.43" outlineLevel="1"/>
    <col customWidth="1" min="56" max="56" width="9.0" outlineLevel="1"/>
    <col customWidth="1" min="57" max="57" width="7.0" outlineLevel="1"/>
    <col customWidth="1" min="58" max="58" width="8.71" outlineLevel="1"/>
    <col customWidth="1" min="59" max="59" width="7.43" outlineLevel="1"/>
    <col customWidth="1" min="60" max="60" width="8.14" outlineLevel="1"/>
    <col customWidth="1" min="61" max="61" width="8.29" outlineLevel="1"/>
    <col customWidth="1" min="62" max="62" width="11.43" outlineLevel="1"/>
    <col customWidth="1" min="63" max="63" width="9.0" outlineLevel="1"/>
    <col customWidth="1" min="64" max="64" width="7.0" outlineLevel="1"/>
    <col customWidth="1" min="65" max="65" width="8.71" outlineLevel="1"/>
    <col customWidth="1" min="66" max="66" width="7.43" outlineLevel="1"/>
    <col customWidth="1" min="67" max="67" width="8.14" outlineLevel="1"/>
    <col customWidth="1" min="68" max="68" width="8.29" outlineLevel="1"/>
    <col customWidth="1" min="69" max="69" width="11.43" outlineLevel="1"/>
    <col customWidth="1" min="70" max="70" width="9.0" outlineLevel="1"/>
    <col customWidth="1" min="71" max="71" width="6.43" outlineLevel="1"/>
    <col customWidth="1" min="72" max="72" width="8.71" outlineLevel="1"/>
    <col customWidth="1" min="73" max="73" width="7.43" outlineLevel="1"/>
    <col customWidth="1" min="74" max="74" width="8.14" outlineLevel="1"/>
    <col customWidth="1" min="75" max="75" width="8.29" outlineLevel="1"/>
    <col customWidth="1" min="76" max="76" width="11.43" outlineLevel="1"/>
    <col customWidth="1" min="77" max="77" width="9.0" outlineLevel="1"/>
    <col customWidth="1" min="78" max="78" width="7.14" outlineLevel="1"/>
    <col customWidth="1" min="79" max="79" width="8.71" outlineLevel="1"/>
    <col customWidth="1" min="80" max="80" width="7.43" outlineLevel="1"/>
    <col customWidth="1" min="81" max="81" width="8.14" outlineLevel="1"/>
    <col customWidth="1" min="82" max="82" width="8.29" outlineLevel="1"/>
    <col customWidth="1" min="83" max="83" width="11.43" outlineLevel="1"/>
    <col customWidth="1" min="84" max="84" width="9.0" outlineLevel="1"/>
    <col customWidth="1" min="85" max="85" width="7.14" outlineLevel="1"/>
    <col customWidth="1" min="86" max="86" width="8.71" outlineLevel="1"/>
    <col customWidth="1" min="87" max="87" width="7.43" outlineLevel="1"/>
    <col customWidth="1" min="88" max="88" width="8.14" outlineLevel="1"/>
    <col customWidth="1" min="89" max="89" width="8.29" outlineLevel="1"/>
    <col customWidth="1" min="90" max="90" width="11.43" outlineLevel="1"/>
    <col customWidth="1" min="91" max="91" width="9.0" outlineLevel="1"/>
    <col customWidth="1" min="92" max="92" width="7.14" outlineLevel="1"/>
    <col customWidth="1" min="93" max="93" width="8.71" outlineLevel="1"/>
    <col customWidth="1" min="94" max="94" width="7.43" outlineLevel="1"/>
    <col customWidth="1" min="95" max="95" width="8.14" outlineLevel="1"/>
    <col customWidth="1" min="96" max="96" width="8.29" outlineLevel="1"/>
    <col customWidth="1" min="97" max="97" width="11.43" outlineLevel="1"/>
    <col customWidth="1" min="98" max="98" width="9.0" outlineLevel="1"/>
    <col customWidth="1" min="99" max="99" width="6.43" outlineLevel="1"/>
    <col customWidth="1" min="100" max="100" width="8.71" outlineLevel="1"/>
    <col customWidth="1" min="101" max="101" width="7.43" outlineLevel="1"/>
    <col customWidth="1" min="102" max="102" width="8.14" outlineLevel="1"/>
    <col customWidth="1" min="103" max="103" width="8.29" outlineLevel="1"/>
    <col customWidth="1" min="104" max="104" width="11.43" outlineLevel="1"/>
    <col customWidth="1" min="105" max="105" width="9.0" outlineLevel="1"/>
    <col customWidth="1" min="106" max="106" width="6.86" outlineLevel="1"/>
    <col customWidth="1" min="107" max="107" width="8.71" outlineLevel="1"/>
    <col customWidth="1" min="108" max="108" width="7.43" outlineLevel="1"/>
    <col customWidth="1" min="109" max="109" width="8.14" outlineLevel="1"/>
    <col customWidth="1" min="110" max="110" width="8.29" outlineLevel="1"/>
    <col customWidth="1" min="111" max="111" width="11.43" outlineLevel="1"/>
    <col customWidth="1" min="112" max="112" width="9.0" outlineLevel="1"/>
    <col customWidth="1" min="113" max="113" width="6.86" outlineLevel="1"/>
    <col customWidth="1" min="114" max="114" width="8.71" outlineLevel="1"/>
    <col customWidth="1" min="115" max="115" width="7.43" outlineLevel="1"/>
    <col customWidth="1" min="116" max="116" width="8.14" outlineLevel="1"/>
    <col customWidth="1" min="117" max="117" width="8.29" outlineLevel="1"/>
    <col customWidth="1" min="118" max="118" width="11.43" outlineLevel="1"/>
    <col customWidth="1" min="119" max="119" width="9.0" outlineLevel="1"/>
    <col customWidth="1" min="120" max="120" width="6.86" outlineLevel="1"/>
    <col customWidth="1" min="121" max="121" width="8.71" outlineLevel="1"/>
    <col customWidth="1" min="122" max="122" width="7.43" outlineLevel="1"/>
    <col customWidth="1" min="123" max="123" width="8.14" outlineLevel="1"/>
    <col customWidth="1" min="124" max="124" width="8.29" outlineLevel="1"/>
    <col customWidth="1" min="125" max="125" width="11.43" outlineLevel="1"/>
    <col customWidth="1" min="126" max="126" width="9.0" outlineLevel="1"/>
    <col customWidth="1" min="127" max="127" width="6.43" outlineLevel="1"/>
    <col customWidth="1" min="128" max="128" width="8.71" outlineLevel="1"/>
    <col customWidth="1" min="129" max="129" width="7.43" outlineLevel="1"/>
    <col customWidth="1" min="130" max="130" width="8.14" outlineLevel="1"/>
    <col customWidth="1" min="131" max="131" width="8.29" outlineLevel="1"/>
    <col customWidth="1" min="132" max="132" width="11.43" outlineLevel="1"/>
    <col customWidth="1" min="133" max="133" width="9.0" outlineLevel="1"/>
    <col customWidth="1" min="134" max="134" width="6.43" outlineLevel="1"/>
    <col customWidth="1" min="135" max="135" width="8.71" outlineLevel="1"/>
    <col customWidth="1" min="136" max="136" width="7.43" outlineLevel="1"/>
    <col customWidth="1" min="137" max="137" width="8.14" outlineLevel="1"/>
    <col customWidth="1" min="138" max="138" width="8.29" outlineLevel="1"/>
    <col customWidth="1" min="139" max="139" width="11.43" outlineLevel="1"/>
    <col customWidth="1" min="140" max="140" width="9.0" outlineLevel="1"/>
    <col customWidth="1" min="141" max="141" width="7.43" outlineLevel="1"/>
    <col customWidth="1" min="142" max="142" width="8.71" outlineLevel="1"/>
    <col customWidth="1" min="143" max="143" width="7.43" outlineLevel="1"/>
    <col customWidth="1" min="144" max="144" width="8.14" outlineLevel="1"/>
    <col customWidth="1" min="145" max="145" width="8.29" outlineLevel="1"/>
    <col customWidth="1" min="146" max="146" width="11.43" outlineLevel="1"/>
    <col customWidth="1" min="147" max="147" width="9.0" outlineLevel="1"/>
    <col customWidth="1" min="148" max="148" width="7.43" outlineLevel="1"/>
    <col customWidth="1" min="149" max="149" width="8.71" outlineLevel="1"/>
    <col customWidth="1" min="150" max="150" width="7.43" outlineLevel="1"/>
    <col customWidth="1" min="151" max="151" width="8.14" outlineLevel="1"/>
    <col customWidth="1" min="152" max="152" width="8.29" outlineLevel="1"/>
    <col customWidth="1" min="153" max="153" width="11.43" outlineLevel="1"/>
    <col customWidth="1" min="154" max="154" width="9.0" outlineLevel="1"/>
    <col customWidth="1" min="155" max="155" width="7.43" outlineLevel="1"/>
    <col customWidth="1" min="156" max="156" width="8.71" outlineLevel="1"/>
    <col customWidth="1" min="157" max="157" width="7.43" outlineLevel="1"/>
    <col customWidth="1" min="158" max="158" width="8.14" outlineLevel="1"/>
    <col customWidth="1" min="159" max="159" width="8.29" outlineLevel="1"/>
    <col customWidth="1" min="160" max="160" width="11.43" outlineLevel="1"/>
    <col customWidth="1" min="161" max="161" width="9.0" outlineLevel="1"/>
    <col customWidth="1" min="162" max="162" width="6.43" outlineLevel="1"/>
    <col customWidth="1" min="163" max="163" width="8.71" outlineLevel="1"/>
    <col customWidth="1" min="164" max="164" width="7.43" outlineLevel="1"/>
    <col customWidth="1" min="165" max="165" width="8.14" outlineLevel="1"/>
    <col customWidth="1" min="166" max="166" width="8.29" outlineLevel="1"/>
    <col customWidth="1" min="167" max="167" width="11.43" outlineLevel="1"/>
    <col customWidth="1" min="168" max="168" width="9.0" outlineLevel="1"/>
    <col customWidth="1" min="169" max="169" width="6.71" outlineLevel="1"/>
    <col customWidth="1" min="170" max="170" width="8.71" outlineLevel="1"/>
    <col customWidth="1" min="171" max="171" width="7.43" outlineLevel="1"/>
    <col customWidth="1" min="172" max="172" width="8.14" outlineLevel="1"/>
    <col customWidth="1" min="173" max="173" width="8.29" outlineLevel="1"/>
    <col customWidth="1" min="174" max="174" width="11.43" outlineLevel="1"/>
    <col customWidth="1" min="175" max="175" width="9.0" outlineLevel="1"/>
    <col customWidth="1" min="176" max="176" width="6.71" outlineLevel="1"/>
    <col customWidth="1" min="177" max="177" width="8.71" outlineLevel="1"/>
    <col customWidth="1" min="178" max="178" width="7.43" outlineLevel="1"/>
    <col customWidth="1" min="179" max="179" width="8.14" outlineLevel="1"/>
    <col customWidth="1" min="180" max="180" width="8.29" outlineLevel="1"/>
    <col customWidth="1" min="181" max="181" width="11.43" outlineLevel="1"/>
    <col customWidth="1" min="182" max="182" width="9.0" outlineLevel="1"/>
    <col customWidth="1" min="183" max="183" width="6.71" outlineLevel="1"/>
    <col customWidth="1" min="184" max="184" width="8.71" outlineLevel="1"/>
    <col customWidth="1" min="185" max="185" width="7.43" outlineLevel="1"/>
    <col customWidth="1" min="186" max="186" width="8.14" outlineLevel="1"/>
    <col customWidth="1" min="187" max="187" width="8.29" outlineLevel="1"/>
    <col customWidth="1" min="188" max="188" width="11.43" outlineLevel="1"/>
    <col customWidth="1" min="189" max="189" width="9.0" outlineLevel="1"/>
    <col customWidth="1" min="190" max="190" width="6.43" outlineLevel="1"/>
    <col customWidth="1" min="191" max="191" width="8.71" outlineLevel="1"/>
    <col customWidth="1" min="192" max="192" width="7.43" outlineLevel="1"/>
    <col customWidth="1" min="193" max="193" width="8.14" outlineLevel="1"/>
    <col customWidth="1" min="194" max="194" width="8.29" outlineLevel="1"/>
    <col customWidth="1" min="195" max="195" width="11.43" outlineLevel="1"/>
    <col customWidth="1" min="196" max="196" width="9.0" outlineLevel="1"/>
    <col customWidth="1" min="197" max="197" width="6.43" outlineLevel="1"/>
    <col customWidth="1" min="198" max="198" width="8.71" outlineLevel="1"/>
    <col customWidth="1" min="199" max="199" width="7.43" outlineLevel="1"/>
    <col customWidth="1" min="200" max="200" width="8.14" outlineLevel="1"/>
    <col customWidth="1" min="201" max="201" width="8.29" outlineLevel="1"/>
    <col customWidth="1" min="202" max="202" width="11.43" outlineLevel="1"/>
    <col customWidth="1" min="203" max="203" width="9.0" outlineLevel="1"/>
    <col customWidth="1" min="204" max="204" width="6.43" outlineLevel="1"/>
    <col customWidth="1" min="205" max="205" width="8.71" outlineLevel="1"/>
    <col customWidth="1" min="206" max="206" width="7.43" outlineLevel="1"/>
    <col customWidth="1" min="207" max="207" width="8.14" outlineLevel="1"/>
    <col customWidth="1" min="208" max="208" width="8.29" outlineLevel="1"/>
    <col customWidth="1" min="209" max="209" width="11.43" outlineLevel="1"/>
    <col customWidth="1" min="210" max="210" width="9.0" outlineLevel="1"/>
    <col customWidth="1" min="211" max="211" width="6.43" outlineLevel="1"/>
    <col customWidth="1" min="212" max="212" width="8.71" outlineLevel="1"/>
    <col customWidth="1" min="213" max="213" width="7.43" outlineLevel="1"/>
    <col customWidth="1" min="214" max="214" width="8.14" outlineLevel="1"/>
    <col customWidth="1" min="215" max="215" width="8.29" outlineLevel="1"/>
    <col customWidth="1" min="216" max="216" width="11.43" outlineLevel="1"/>
    <col customWidth="1" min="217" max="217" width="9.0" outlineLevel="1"/>
    <col customWidth="1" min="218" max="218" width="6.43" outlineLevel="1"/>
    <col customWidth="1" min="219" max="219" width="8.71" outlineLevel="1"/>
    <col customWidth="1" min="220" max="220" width="7.43" outlineLevel="1"/>
    <col customWidth="1" min="221" max="221" width="8.14" outlineLevel="1"/>
    <col customWidth="1" min="222" max="222" width="8.29" outlineLevel="1"/>
    <col customWidth="1" min="223" max="223" width="11.43" outlineLevel="1"/>
    <col customWidth="1" min="224" max="224" width="9.0" outlineLevel="1"/>
    <col customWidth="1" min="225" max="225" width="6.43" outlineLevel="1"/>
    <col customWidth="1" min="226" max="226" width="8.71" outlineLevel="1"/>
    <col customWidth="1" min="227" max="227" width="7.43" outlineLevel="1"/>
    <col customWidth="1" min="228" max="228" width="8.14" outlineLevel="1"/>
    <col customWidth="1" min="229" max="229" width="8.29" outlineLevel="1"/>
    <col customWidth="1" min="230" max="230" width="11.43" outlineLevel="1"/>
    <col customWidth="1" min="231" max="231" width="9.0" outlineLevel="1"/>
    <col customWidth="1" min="232" max="232" width="7.14" outlineLevel="1"/>
    <col customWidth="1" min="233" max="233" width="8.71" outlineLevel="1"/>
    <col customWidth="1" min="234" max="234" width="7.43" outlineLevel="1"/>
    <col customWidth="1" min="235" max="235" width="8.14" outlineLevel="1"/>
    <col customWidth="1" min="236" max="236" width="8.29" outlineLevel="1"/>
    <col customWidth="1" min="237" max="237" width="11.43" outlineLevel="1"/>
    <col customWidth="1" min="238" max="238" width="9.0" outlineLevel="1"/>
    <col customWidth="1" min="239" max="239" width="7.14" outlineLevel="1"/>
    <col customWidth="1" min="240" max="240" width="8.71" outlineLevel="1"/>
    <col customWidth="1" min="241" max="241" width="7.43" outlineLevel="1"/>
    <col customWidth="1" min="242" max="242" width="8.14" outlineLevel="1"/>
    <col customWidth="1" min="243" max="243" width="8.29" outlineLevel="1"/>
    <col customWidth="1" min="244" max="244" width="11.43" outlineLevel="1"/>
    <col customWidth="1" min="245" max="245" width="9.0" outlineLevel="1"/>
    <col customWidth="1" min="246" max="246" width="7.14" outlineLevel="1"/>
    <col customWidth="1" min="247" max="247" width="8.71" outlineLevel="1"/>
    <col customWidth="1" min="248" max="248" width="7.43" outlineLevel="1"/>
    <col customWidth="1" min="249" max="249" width="8.14" outlineLevel="1"/>
    <col customWidth="1" min="250" max="250" width="8.29" outlineLevel="1"/>
    <col customWidth="1" min="251" max="251" width="11.43" outlineLevel="1"/>
    <col customWidth="1" min="252" max="252" width="9.0" outlineLevel="1"/>
    <col customWidth="1" min="253" max="253" width="6.43" outlineLevel="1"/>
    <col customWidth="1" min="254" max="254" width="8.71" outlineLevel="1"/>
    <col customWidth="1" min="255" max="255" width="7.43" outlineLevel="1"/>
    <col customWidth="1" min="256" max="256" width="8.14" outlineLevel="1"/>
    <col customWidth="1" min="257" max="257" width="8.29" outlineLevel="1"/>
    <col customWidth="1" min="258" max="258" width="11.43" outlineLevel="1"/>
    <col customWidth="1" min="259" max="259" width="9.0" outlineLevel="1"/>
    <col customWidth="1" min="260" max="260" width="7.0" outlineLevel="1"/>
    <col customWidth="1" min="261" max="261" width="8.71" outlineLevel="1"/>
    <col customWidth="1" min="262" max="262" width="7.43" outlineLevel="1"/>
    <col customWidth="1" min="263" max="263" width="8.14" outlineLevel="1"/>
    <col customWidth="1" min="264" max="264" width="8.29" outlineLevel="1"/>
    <col customWidth="1" min="265" max="265" width="11.43" outlineLevel="1"/>
    <col customWidth="1" min="266" max="266" width="9.0" outlineLevel="1"/>
    <col customWidth="1" min="267" max="267" width="7.0" outlineLevel="1"/>
    <col customWidth="1" min="268" max="268" width="8.71" outlineLevel="1"/>
    <col customWidth="1" min="269" max="269" width="7.43" outlineLevel="1"/>
    <col customWidth="1" min="270" max="270" width="8.14" outlineLevel="1"/>
    <col customWidth="1" min="271" max="271" width="8.29" outlineLevel="1"/>
    <col customWidth="1" min="272" max="272" width="11.43" outlineLevel="1"/>
    <col customWidth="1" min="273" max="273" width="9.0" outlineLevel="1"/>
    <col customWidth="1" min="274" max="274" width="7.0" outlineLevel="1"/>
    <col customWidth="1" min="275" max="275" width="8.71" outlineLevel="1"/>
    <col customWidth="1" min="276" max="276" width="7.43" outlineLevel="1"/>
    <col customWidth="1" min="277" max="277" width="8.14" outlineLevel="1"/>
    <col customWidth="1" min="278" max="278" width="8.29" outlineLevel="1"/>
    <col customWidth="1" min="279" max="279" width="11.43" outlineLevel="1"/>
    <col customWidth="1" min="280" max="280" width="9.0" outlineLevel="1"/>
    <col customWidth="1" min="281" max="281" width="6.43" outlineLevel="1"/>
    <col customWidth="1" min="282" max="282" width="8.71" outlineLevel="1"/>
    <col customWidth="1" min="283" max="283" width="7.43" outlineLevel="1"/>
    <col customWidth="1" min="284" max="284" width="8.14" outlineLevel="1"/>
    <col customWidth="1" min="285" max="285" width="8.29" outlineLevel="1"/>
    <col customWidth="1" min="286" max="286" width="11.43" outlineLevel="1"/>
    <col customWidth="1" min="287" max="287" width="9.0" outlineLevel="1"/>
    <col customWidth="1" min="288" max="288" width="6.71" outlineLevel="1"/>
    <col customWidth="1" min="289" max="289" width="8.71" outlineLevel="1"/>
    <col customWidth="1" min="290" max="290" width="7.43" outlineLevel="1"/>
    <col customWidth="1" min="291" max="291" width="8.14" outlineLevel="1"/>
    <col customWidth="1" min="292" max="292" width="8.29" outlineLevel="1"/>
    <col customWidth="1" min="293" max="293" width="11.43" outlineLevel="1"/>
    <col customWidth="1" min="294" max="294" width="9.0" outlineLevel="1"/>
    <col customWidth="1" min="295" max="295" width="6.71" outlineLevel="1"/>
    <col customWidth="1" min="296" max="296" width="8.71" outlineLevel="1"/>
    <col customWidth="1" min="297" max="297" width="7.43" outlineLevel="1"/>
    <col customWidth="1" min="298" max="298" width="8.14" outlineLevel="1"/>
    <col customWidth="1" min="299" max="299" width="8.29" outlineLevel="1"/>
    <col customWidth="1" min="300" max="300" width="11.43" outlineLevel="1"/>
    <col customWidth="1" min="301" max="301" width="9.0" outlineLevel="1"/>
    <col customWidth="1" min="302" max="302" width="6.71" outlineLevel="1"/>
    <col customWidth="1" min="303" max="303" width="8.71" outlineLevel="1"/>
    <col customWidth="1" min="304" max="304" width="7.43" outlineLevel="1"/>
    <col customWidth="1" min="305" max="305" width="8.14" outlineLevel="1"/>
    <col customWidth="1" min="306" max="306" width="8.29" outlineLevel="1"/>
    <col customWidth="1" min="307" max="307" width="11.43" outlineLevel="1"/>
    <col customWidth="1" min="308" max="308" width="9.0" outlineLevel="1"/>
    <col customWidth="1" min="309" max="309" width="6.71" outlineLevel="1"/>
    <col customWidth="1" min="310" max="310" width="8.71" outlineLevel="1"/>
    <col customWidth="1" min="311" max="311" width="7.43" outlineLevel="1"/>
    <col customWidth="1" min="312" max="312" width="8.14" outlineLevel="1"/>
    <col customWidth="1" min="313" max="313" width="8.29" outlineLevel="1"/>
    <col customWidth="1" min="314" max="314" width="11.43" outlineLevel="1"/>
    <col customWidth="1" min="315" max="315" width="9.0" outlineLevel="1"/>
    <col customWidth="1" min="316" max="316" width="6.43" outlineLevel="1"/>
    <col customWidth="1" min="317" max="317" width="8.71" outlineLevel="1"/>
    <col customWidth="1" min="318" max="318" width="7.43" outlineLevel="1"/>
    <col customWidth="1" min="319" max="319" width="8.14" outlineLevel="1"/>
    <col customWidth="1" min="320" max="320" width="8.29" outlineLevel="1"/>
    <col customWidth="1" min="321" max="321" width="11.43" outlineLevel="1"/>
    <col customWidth="1" min="322" max="322" width="9.0" outlineLevel="1"/>
    <col customWidth="1" min="323" max="323" width="7.29" outlineLevel="1"/>
    <col customWidth="1" min="324" max="324" width="8.71" outlineLevel="1"/>
    <col customWidth="1" min="325" max="325" width="7.43" outlineLevel="1"/>
    <col customWidth="1" min="326" max="326" width="8.14" outlineLevel="1"/>
    <col customWidth="1" min="327" max="327" width="8.29" outlineLevel="1"/>
    <col customWidth="1" min="328" max="328" width="11.43" outlineLevel="1"/>
    <col customWidth="1" min="329" max="329" width="9.0" outlineLevel="1"/>
    <col customWidth="1" min="330" max="330" width="7.29" outlineLevel="1"/>
    <col customWidth="1" min="331" max="331" width="8.71" outlineLevel="1"/>
    <col customWidth="1" min="332" max="332" width="7.43" outlineLevel="1"/>
    <col customWidth="1" min="333" max="333" width="8.14" outlineLevel="1"/>
    <col customWidth="1" min="334" max="334" width="8.29" outlineLevel="1"/>
    <col customWidth="1" min="335" max="335" width="11.43" outlineLevel="1"/>
    <col customWidth="1" min="336" max="336" width="9.0" outlineLevel="1"/>
    <col customWidth="1" min="337" max="337" width="7.29" outlineLevel="1"/>
    <col customWidth="1" min="338" max="338" width="8.71" outlineLevel="1"/>
    <col customWidth="1" min="339" max="339" width="7.43" outlineLevel="1"/>
    <col customWidth="1" min="340" max="340" width="8.14" outlineLevel="1"/>
    <col customWidth="1" min="341" max="341" width="8.29" outlineLevel="1"/>
    <col customWidth="1" min="342" max="342" width="11.43" outlineLevel="1"/>
    <col customWidth="1" min="343" max="343" width="9.0" outlineLevel="1"/>
    <col customWidth="1" min="344" max="344" width="6.43" outlineLevel="1"/>
    <col customWidth="1" min="345" max="345" width="8.71" outlineLevel="1"/>
    <col customWidth="1" min="346" max="346" width="7.43" outlineLevel="1"/>
    <col customWidth="1" min="347" max="347" width="8.14" outlineLevel="1"/>
    <col customWidth="1" min="348" max="348" width="8.29" outlineLevel="1"/>
    <col customWidth="1" min="349" max="349" width="11.43" outlineLevel="1"/>
    <col customWidth="1" min="350" max="350" width="9.0" outlineLevel="1"/>
    <col customWidth="1" min="351" max="351" width="7.0" outlineLevel="1"/>
    <col customWidth="1" min="352" max="352" width="8.71" outlineLevel="1"/>
    <col customWidth="1" min="353" max="353" width="7.43" outlineLevel="1"/>
    <col customWidth="1" min="354" max="354" width="8.14" outlineLevel="1"/>
    <col customWidth="1" min="355" max="355" width="8.29" outlineLevel="1"/>
    <col customWidth="1" min="356" max="356" width="11.43" outlineLevel="1"/>
    <col customWidth="1" min="357" max="357" width="9.0" outlineLevel="1"/>
    <col customWidth="1" min="358" max="358" width="7.0" outlineLevel="1"/>
    <col customWidth="1" min="359" max="359" width="8.71" outlineLevel="1"/>
    <col customWidth="1" min="360" max="360" width="7.43" outlineLevel="1"/>
    <col customWidth="1" min="361" max="361" width="8.14" outlineLevel="1"/>
    <col customWidth="1" min="362" max="362" width="8.29" outlineLevel="1"/>
    <col customWidth="1" min="363" max="363" width="11.43" outlineLevel="1"/>
    <col customWidth="1" min="364" max="364" width="9.0" outlineLevel="1"/>
    <col customWidth="1" min="365" max="365" width="7.0" outlineLevel="1"/>
    <col customWidth="1" min="366" max="366" width="8.71" outlineLevel="1"/>
    <col customWidth="1" min="367" max="367" width="7.43" outlineLevel="1"/>
    <col customWidth="1" min="368" max="368" width="8.14" outlineLevel="1"/>
    <col customWidth="1" min="369" max="369" width="8.29" outlineLevel="1"/>
    <col customWidth="1" min="370" max="370" width="11.43" outlineLevel="1"/>
    <col customWidth="1" min="371" max="371" width="5.0"/>
    <col customWidth="1" min="372" max="373" width="4.43"/>
  </cols>
  <sheetData>
    <row r="1">
      <c r="E1" s="6">
        <f>TODAY()</f>
        <v>46246</v>
      </c>
      <c r="F1" s="7">
        <v>45658.0</v>
      </c>
      <c r="G1" s="7">
        <v>45659.0</v>
      </c>
      <c r="H1" s="7">
        <v>45660.0</v>
      </c>
      <c r="I1" s="7">
        <v>45661.0</v>
      </c>
      <c r="J1" s="7">
        <v>45662.0</v>
      </c>
      <c r="K1" s="7">
        <v>45663.0</v>
      </c>
      <c r="L1" s="7">
        <v>45664.0</v>
      </c>
      <c r="M1" s="7">
        <v>45665.0</v>
      </c>
      <c r="N1" s="7">
        <v>45666.0</v>
      </c>
      <c r="O1" s="7">
        <v>45667.0</v>
      </c>
      <c r="P1" s="7">
        <v>45668.0</v>
      </c>
      <c r="Q1" s="7">
        <v>45669.0</v>
      </c>
      <c r="R1" s="7">
        <v>45670.0</v>
      </c>
      <c r="S1" s="7">
        <v>45671.0</v>
      </c>
      <c r="T1" s="7">
        <v>45672.0</v>
      </c>
      <c r="U1" s="7">
        <v>45673.0</v>
      </c>
      <c r="V1" s="7">
        <v>45674.0</v>
      </c>
      <c r="W1" s="7">
        <v>45675.0</v>
      </c>
      <c r="X1" s="7">
        <v>45676.0</v>
      </c>
      <c r="Y1" s="7">
        <v>45677.0</v>
      </c>
      <c r="Z1" s="7">
        <v>45678.0</v>
      </c>
      <c r="AA1" s="7">
        <v>45679.0</v>
      </c>
      <c r="AB1" s="7">
        <v>45680.0</v>
      </c>
      <c r="AC1" s="7">
        <v>45681.0</v>
      </c>
      <c r="AD1" s="7">
        <v>45682.0</v>
      </c>
      <c r="AE1" s="7">
        <v>45683.0</v>
      </c>
      <c r="AF1" s="7">
        <v>45684.0</v>
      </c>
      <c r="AG1" s="7">
        <v>45685.0</v>
      </c>
      <c r="AH1" s="7">
        <v>45686.0</v>
      </c>
      <c r="AI1" s="7">
        <v>45687.0</v>
      </c>
      <c r="AJ1" s="7">
        <v>45688.0</v>
      </c>
      <c r="AK1" s="7">
        <v>45689.0</v>
      </c>
      <c r="AL1" s="7">
        <v>45690.0</v>
      </c>
      <c r="AM1" s="7">
        <v>45691.0</v>
      </c>
      <c r="AN1" s="7">
        <v>45692.0</v>
      </c>
      <c r="AO1" s="7">
        <v>45693.0</v>
      </c>
      <c r="AP1" s="7">
        <v>45694.0</v>
      </c>
      <c r="AQ1" s="7">
        <v>45695.0</v>
      </c>
      <c r="AR1" s="7">
        <v>45696.0</v>
      </c>
      <c r="AS1" s="7">
        <v>45697.0</v>
      </c>
      <c r="AT1" s="7">
        <v>45698.0</v>
      </c>
      <c r="AU1" s="7">
        <v>45699.0</v>
      </c>
      <c r="AV1" s="7">
        <v>45700.0</v>
      </c>
      <c r="AW1" s="7">
        <v>45701.0</v>
      </c>
      <c r="AX1" s="7">
        <v>45702.0</v>
      </c>
      <c r="AY1" s="7">
        <v>45703.0</v>
      </c>
      <c r="AZ1" s="7">
        <v>45704.0</v>
      </c>
      <c r="BA1" s="7">
        <v>45705.0</v>
      </c>
      <c r="BB1" s="7">
        <v>45706.0</v>
      </c>
      <c r="BC1" s="7">
        <v>45707.0</v>
      </c>
      <c r="BD1" s="7">
        <v>45708.0</v>
      </c>
      <c r="BE1" s="7">
        <v>45709.0</v>
      </c>
      <c r="BF1" s="7">
        <v>45710.0</v>
      </c>
      <c r="BG1" s="7">
        <v>45711.0</v>
      </c>
      <c r="BH1" s="7">
        <v>45712.0</v>
      </c>
      <c r="BI1" s="7">
        <v>45713.0</v>
      </c>
      <c r="BJ1" s="7">
        <v>45714.0</v>
      </c>
      <c r="BK1" s="7">
        <v>45715.0</v>
      </c>
      <c r="BL1" s="7">
        <v>45716.0</v>
      </c>
      <c r="BM1" s="7">
        <v>45717.0</v>
      </c>
      <c r="BN1" s="7">
        <v>45718.0</v>
      </c>
      <c r="BO1" s="7">
        <v>45719.0</v>
      </c>
      <c r="BP1" s="7">
        <v>45720.0</v>
      </c>
      <c r="BQ1" s="7">
        <v>45721.0</v>
      </c>
      <c r="BR1" s="7">
        <v>45722.0</v>
      </c>
      <c r="BS1" s="7">
        <v>45723.0</v>
      </c>
      <c r="BT1" s="7">
        <v>45724.0</v>
      </c>
      <c r="BU1" s="7">
        <v>45725.0</v>
      </c>
      <c r="BV1" s="7">
        <v>45726.0</v>
      </c>
      <c r="BW1" s="7">
        <v>45727.0</v>
      </c>
      <c r="BX1" s="7">
        <v>45728.0</v>
      </c>
      <c r="BY1" s="7">
        <v>45729.0</v>
      </c>
      <c r="BZ1" s="7">
        <v>45730.0</v>
      </c>
      <c r="CA1" s="7">
        <v>45731.0</v>
      </c>
      <c r="CB1" s="7">
        <v>45732.0</v>
      </c>
      <c r="CC1" s="7">
        <v>45733.0</v>
      </c>
      <c r="CD1" s="7">
        <v>45734.0</v>
      </c>
      <c r="CE1" s="7">
        <v>45735.0</v>
      </c>
      <c r="CF1" s="7">
        <v>45736.0</v>
      </c>
      <c r="CG1" s="7">
        <v>45737.0</v>
      </c>
      <c r="CH1" s="7">
        <v>45738.0</v>
      </c>
      <c r="CI1" s="7">
        <v>45739.0</v>
      </c>
      <c r="CJ1" s="7">
        <v>45740.0</v>
      </c>
      <c r="CK1" s="7">
        <v>45741.0</v>
      </c>
      <c r="CL1" s="7">
        <v>45742.0</v>
      </c>
      <c r="CM1" s="7">
        <v>45743.0</v>
      </c>
      <c r="CN1" s="7">
        <v>45744.0</v>
      </c>
      <c r="CO1" s="7">
        <v>45745.0</v>
      </c>
      <c r="CP1" s="7">
        <v>45746.0</v>
      </c>
      <c r="CQ1" s="7">
        <v>45747.0</v>
      </c>
      <c r="CR1" s="7">
        <v>45748.0</v>
      </c>
      <c r="CS1" s="7">
        <v>45749.0</v>
      </c>
      <c r="CT1" s="7">
        <v>45750.0</v>
      </c>
      <c r="CU1" s="7">
        <v>45751.0</v>
      </c>
      <c r="CV1" s="7">
        <v>45752.0</v>
      </c>
      <c r="CW1" s="7">
        <v>45753.0</v>
      </c>
      <c r="CX1" s="7">
        <v>45754.0</v>
      </c>
      <c r="CY1" s="7">
        <v>45755.0</v>
      </c>
      <c r="CZ1" s="7">
        <v>45756.0</v>
      </c>
      <c r="DA1" s="7">
        <v>45757.0</v>
      </c>
      <c r="DB1" s="7">
        <v>45758.0</v>
      </c>
      <c r="DC1" s="7">
        <v>45759.0</v>
      </c>
      <c r="DD1" s="7">
        <v>45760.0</v>
      </c>
      <c r="DE1" s="7">
        <v>45761.0</v>
      </c>
      <c r="DF1" s="7">
        <v>45762.0</v>
      </c>
      <c r="DG1" s="7">
        <v>45763.0</v>
      </c>
      <c r="DH1" s="7">
        <v>45764.0</v>
      </c>
      <c r="DI1" s="7">
        <v>45765.0</v>
      </c>
      <c r="DJ1" s="7">
        <v>45766.0</v>
      </c>
      <c r="DK1" s="7">
        <v>45767.0</v>
      </c>
      <c r="DL1" s="7">
        <v>45768.0</v>
      </c>
      <c r="DM1" s="7">
        <v>45769.0</v>
      </c>
      <c r="DN1" s="7">
        <v>45770.0</v>
      </c>
      <c r="DO1" s="7">
        <v>45771.0</v>
      </c>
      <c r="DP1" s="7">
        <v>45772.0</v>
      </c>
      <c r="DQ1" s="7">
        <v>45773.0</v>
      </c>
      <c r="DR1" s="7">
        <v>45774.0</v>
      </c>
      <c r="DS1" s="7">
        <v>45775.0</v>
      </c>
      <c r="DT1" s="7">
        <v>45776.0</v>
      </c>
      <c r="DU1" s="7">
        <v>45777.0</v>
      </c>
      <c r="DV1" s="7">
        <v>45778.0</v>
      </c>
      <c r="DW1" s="7">
        <v>45779.0</v>
      </c>
      <c r="DX1" s="7">
        <v>45780.0</v>
      </c>
      <c r="DY1" s="7">
        <v>45781.0</v>
      </c>
      <c r="DZ1" s="7">
        <v>45782.0</v>
      </c>
      <c r="EA1" s="7">
        <v>45783.0</v>
      </c>
      <c r="EB1" s="7">
        <v>45784.0</v>
      </c>
      <c r="EC1" s="7">
        <v>45785.0</v>
      </c>
      <c r="ED1" s="7">
        <v>45786.0</v>
      </c>
      <c r="EE1" s="7">
        <v>45787.0</v>
      </c>
      <c r="EF1" s="7">
        <v>45788.0</v>
      </c>
      <c r="EG1" s="7">
        <v>45789.0</v>
      </c>
      <c r="EH1" s="7">
        <v>45790.0</v>
      </c>
      <c r="EI1" s="7">
        <v>45791.0</v>
      </c>
      <c r="EJ1" s="7">
        <v>45792.0</v>
      </c>
      <c r="EK1" s="7">
        <v>45793.0</v>
      </c>
      <c r="EL1" s="7">
        <v>45794.0</v>
      </c>
      <c r="EM1" s="7">
        <v>45795.0</v>
      </c>
      <c r="EN1" s="7">
        <v>45796.0</v>
      </c>
      <c r="EO1" s="7">
        <v>45797.0</v>
      </c>
      <c r="EP1" s="7">
        <v>45798.0</v>
      </c>
      <c r="EQ1" s="7">
        <v>45799.0</v>
      </c>
      <c r="ER1" s="7">
        <v>45800.0</v>
      </c>
      <c r="ES1" s="7">
        <v>45801.0</v>
      </c>
      <c r="ET1" s="7">
        <v>45802.0</v>
      </c>
      <c r="EU1" s="7">
        <v>45803.0</v>
      </c>
      <c r="EV1" s="7">
        <v>45804.0</v>
      </c>
      <c r="EW1" s="7">
        <v>45805.0</v>
      </c>
      <c r="EX1" s="7">
        <v>45806.0</v>
      </c>
      <c r="EY1" s="7">
        <v>45807.0</v>
      </c>
      <c r="EZ1" s="7">
        <v>45808.0</v>
      </c>
      <c r="FA1" s="7">
        <v>45809.0</v>
      </c>
      <c r="FB1" s="7">
        <v>45810.0</v>
      </c>
      <c r="FC1" s="7">
        <v>45811.0</v>
      </c>
      <c r="FD1" s="7">
        <v>45812.0</v>
      </c>
      <c r="FE1" s="7">
        <v>45813.0</v>
      </c>
      <c r="FF1" s="7">
        <v>45814.0</v>
      </c>
      <c r="FG1" s="7">
        <v>45815.0</v>
      </c>
      <c r="FH1" s="7">
        <v>45816.0</v>
      </c>
      <c r="FI1" s="7">
        <v>45817.0</v>
      </c>
      <c r="FJ1" s="7">
        <v>45818.0</v>
      </c>
      <c r="FK1" s="7">
        <v>45819.0</v>
      </c>
      <c r="FL1" s="7">
        <v>45820.0</v>
      </c>
      <c r="FM1" s="7">
        <v>45821.0</v>
      </c>
      <c r="FN1" s="7">
        <v>45822.0</v>
      </c>
      <c r="FO1" s="7">
        <v>45823.0</v>
      </c>
      <c r="FP1" s="7">
        <v>45824.0</v>
      </c>
      <c r="FQ1" s="7">
        <v>45825.0</v>
      </c>
      <c r="FR1" s="7">
        <v>45826.0</v>
      </c>
      <c r="FS1" s="7">
        <v>45827.0</v>
      </c>
      <c r="FT1" s="7">
        <v>45828.0</v>
      </c>
      <c r="FU1" s="7">
        <v>45829.0</v>
      </c>
      <c r="FV1" s="7">
        <v>45830.0</v>
      </c>
      <c r="FW1" s="7">
        <v>45831.0</v>
      </c>
      <c r="FX1" s="7">
        <v>45832.0</v>
      </c>
      <c r="FY1" s="7">
        <v>45833.0</v>
      </c>
      <c r="FZ1" s="7">
        <v>45834.0</v>
      </c>
      <c r="GA1" s="7">
        <v>45835.0</v>
      </c>
      <c r="GB1" s="7">
        <v>45836.0</v>
      </c>
      <c r="GC1" s="7">
        <v>45837.0</v>
      </c>
      <c r="GD1" s="7">
        <v>45838.0</v>
      </c>
      <c r="GE1" s="7">
        <v>45839.0</v>
      </c>
      <c r="GF1" s="7">
        <v>45840.0</v>
      </c>
      <c r="GG1" s="7">
        <v>45841.0</v>
      </c>
      <c r="GH1" s="7">
        <v>45842.0</v>
      </c>
      <c r="GI1" s="7">
        <v>45843.0</v>
      </c>
      <c r="GJ1" s="7">
        <v>45844.0</v>
      </c>
      <c r="GK1" s="7">
        <v>45845.0</v>
      </c>
      <c r="GL1" s="7">
        <v>45846.0</v>
      </c>
      <c r="GM1" s="7">
        <v>45847.0</v>
      </c>
      <c r="GN1" s="7">
        <v>45848.0</v>
      </c>
      <c r="GO1" s="7">
        <v>45849.0</v>
      </c>
      <c r="GP1" s="7">
        <v>45850.0</v>
      </c>
      <c r="GQ1" s="7">
        <v>45851.0</v>
      </c>
      <c r="GR1" s="7">
        <v>45852.0</v>
      </c>
      <c r="GS1" s="7">
        <v>45853.0</v>
      </c>
      <c r="GT1" s="7">
        <v>45854.0</v>
      </c>
      <c r="GU1" s="7">
        <v>45855.0</v>
      </c>
      <c r="GV1" s="7">
        <v>45856.0</v>
      </c>
      <c r="GW1" s="7">
        <v>45857.0</v>
      </c>
      <c r="GX1" s="7">
        <v>45858.0</v>
      </c>
      <c r="GY1" s="7">
        <v>45859.0</v>
      </c>
      <c r="GZ1" s="7">
        <v>45860.0</v>
      </c>
      <c r="HA1" s="7">
        <v>45861.0</v>
      </c>
      <c r="HB1" s="7">
        <v>45862.0</v>
      </c>
      <c r="HC1" s="7">
        <v>45863.0</v>
      </c>
      <c r="HD1" s="7">
        <v>45864.0</v>
      </c>
      <c r="HE1" s="7">
        <v>45865.0</v>
      </c>
      <c r="HF1" s="7">
        <v>45866.0</v>
      </c>
      <c r="HG1" s="7">
        <v>45867.0</v>
      </c>
      <c r="HH1" s="7">
        <v>45868.0</v>
      </c>
      <c r="HI1" s="7">
        <v>45869.0</v>
      </c>
      <c r="HJ1" s="7">
        <v>45870.0</v>
      </c>
      <c r="HK1" s="7">
        <v>45871.0</v>
      </c>
      <c r="HL1" s="7">
        <v>45872.0</v>
      </c>
      <c r="HM1" s="7">
        <v>45873.0</v>
      </c>
      <c r="HN1" s="7">
        <v>45874.0</v>
      </c>
      <c r="HO1" s="7">
        <v>45875.0</v>
      </c>
      <c r="HP1" s="7">
        <v>45876.0</v>
      </c>
      <c r="HQ1" s="7">
        <v>45877.0</v>
      </c>
      <c r="HR1" s="7">
        <v>45878.0</v>
      </c>
      <c r="HS1" s="7">
        <v>45879.0</v>
      </c>
      <c r="HT1" s="7">
        <v>45880.0</v>
      </c>
      <c r="HU1" s="7">
        <v>45881.0</v>
      </c>
      <c r="HV1" s="7">
        <v>45882.0</v>
      </c>
      <c r="HW1" s="7">
        <v>45883.0</v>
      </c>
      <c r="HX1" s="7">
        <v>45884.0</v>
      </c>
      <c r="HY1" s="7">
        <v>45885.0</v>
      </c>
      <c r="HZ1" s="7">
        <v>45886.0</v>
      </c>
      <c r="IA1" s="7">
        <v>45887.0</v>
      </c>
      <c r="IB1" s="7">
        <v>45888.0</v>
      </c>
      <c r="IC1" s="7">
        <v>45889.0</v>
      </c>
      <c r="ID1" s="7">
        <v>45890.0</v>
      </c>
      <c r="IE1" s="7">
        <v>45891.0</v>
      </c>
      <c r="IF1" s="7">
        <v>45892.0</v>
      </c>
      <c r="IG1" s="7">
        <v>45893.0</v>
      </c>
      <c r="IH1" s="7">
        <v>45894.0</v>
      </c>
      <c r="II1" s="7">
        <v>45895.0</v>
      </c>
      <c r="IJ1" s="7">
        <v>45896.0</v>
      </c>
      <c r="IK1" s="7">
        <v>45897.0</v>
      </c>
      <c r="IL1" s="7">
        <v>45898.0</v>
      </c>
      <c r="IM1" s="7">
        <v>45899.0</v>
      </c>
      <c r="IN1" s="7">
        <v>45900.0</v>
      </c>
      <c r="IO1" s="7">
        <v>45901.0</v>
      </c>
      <c r="IP1" s="7">
        <v>45902.0</v>
      </c>
      <c r="IQ1" s="7">
        <v>45903.0</v>
      </c>
      <c r="IR1" s="7">
        <v>45904.0</v>
      </c>
      <c r="IS1" s="7">
        <v>45905.0</v>
      </c>
      <c r="IT1" s="7">
        <v>45906.0</v>
      </c>
      <c r="IU1" s="7">
        <v>45907.0</v>
      </c>
      <c r="IV1" s="7">
        <v>45908.0</v>
      </c>
      <c r="IW1" s="7">
        <v>45909.0</v>
      </c>
      <c r="IX1" s="7">
        <v>45910.0</v>
      </c>
      <c r="IY1" s="7">
        <v>45911.0</v>
      </c>
      <c r="IZ1" s="7">
        <v>45912.0</v>
      </c>
      <c r="JA1" s="7">
        <v>45913.0</v>
      </c>
      <c r="JB1" s="7">
        <v>45914.0</v>
      </c>
      <c r="JC1" s="7">
        <v>45915.0</v>
      </c>
      <c r="JD1" s="7">
        <v>45916.0</v>
      </c>
      <c r="JE1" s="7">
        <v>45917.0</v>
      </c>
      <c r="JF1" s="7">
        <v>45918.0</v>
      </c>
      <c r="JG1" s="7">
        <v>45919.0</v>
      </c>
      <c r="JH1" s="7">
        <v>45920.0</v>
      </c>
      <c r="JI1" s="7">
        <v>45921.0</v>
      </c>
      <c r="JJ1" s="7">
        <v>45922.0</v>
      </c>
      <c r="JK1" s="7">
        <v>45923.0</v>
      </c>
      <c r="JL1" s="7">
        <v>45924.0</v>
      </c>
      <c r="JM1" s="7">
        <v>45925.0</v>
      </c>
      <c r="JN1" s="7">
        <v>45926.0</v>
      </c>
      <c r="JO1" s="7">
        <v>45927.0</v>
      </c>
      <c r="JP1" s="7">
        <v>45928.0</v>
      </c>
      <c r="JQ1" s="7">
        <v>45929.0</v>
      </c>
      <c r="JR1" s="7">
        <v>45930.0</v>
      </c>
      <c r="JS1" s="7">
        <v>45931.0</v>
      </c>
      <c r="JT1" s="7">
        <v>45932.0</v>
      </c>
      <c r="JU1" s="7">
        <v>45933.0</v>
      </c>
      <c r="JV1" s="7">
        <v>45934.0</v>
      </c>
      <c r="JW1" s="7">
        <v>45935.0</v>
      </c>
      <c r="JX1" s="7">
        <v>45936.0</v>
      </c>
      <c r="JY1" s="7">
        <v>45937.0</v>
      </c>
      <c r="JZ1" s="7">
        <v>45938.0</v>
      </c>
      <c r="KA1" s="7">
        <v>45939.0</v>
      </c>
      <c r="KB1" s="7">
        <v>45940.0</v>
      </c>
      <c r="KC1" s="7">
        <v>45941.0</v>
      </c>
      <c r="KD1" s="7">
        <v>45942.0</v>
      </c>
      <c r="KE1" s="7">
        <v>45943.0</v>
      </c>
      <c r="KF1" s="7">
        <v>45944.0</v>
      </c>
      <c r="KG1" s="7">
        <v>45945.0</v>
      </c>
      <c r="KH1" s="7">
        <v>45946.0</v>
      </c>
      <c r="KI1" s="7">
        <v>45947.0</v>
      </c>
      <c r="KJ1" s="7">
        <v>45948.0</v>
      </c>
      <c r="KK1" s="7">
        <v>45949.0</v>
      </c>
      <c r="KL1" s="7">
        <v>45950.0</v>
      </c>
      <c r="KM1" s="7">
        <v>45951.0</v>
      </c>
      <c r="KN1" s="7">
        <v>45952.0</v>
      </c>
      <c r="KO1" s="7">
        <v>45953.0</v>
      </c>
      <c r="KP1" s="7">
        <v>45954.0</v>
      </c>
      <c r="KQ1" s="7">
        <v>45955.0</v>
      </c>
      <c r="KR1" s="7">
        <v>45956.0</v>
      </c>
      <c r="KS1" s="7">
        <v>45957.0</v>
      </c>
      <c r="KT1" s="7">
        <v>45958.0</v>
      </c>
      <c r="KU1" s="7">
        <v>45959.0</v>
      </c>
      <c r="KV1" s="7">
        <v>45960.0</v>
      </c>
      <c r="KW1" s="7">
        <v>45961.0</v>
      </c>
      <c r="KX1" s="7">
        <v>45962.0</v>
      </c>
      <c r="KY1" s="7">
        <v>45963.0</v>
      </c>
      <c r="KZ1" s="7">
        <v>45964.0</v>
      </c>
      <c r="LA1" s="7">
        <v>45965.0</v>
      </c>
      <c r="LB1" s="7">
        <v>45966.0</v>
      </c>
      <c r="LC1" s="7">
        <v>45967.0</v>
      </c>
      <c r="LD1" s="7">
        <v>45968.0</v>
      </c>
      <c r="LE1" s="7">
        <v>45969.0</v>
      </c>
      <c r="LF1" s="7">
        <v>45970.0</v>
      </c>
      <c r="LG1" s="7">
        <v>45971.0</v>
      </c>
      <c r="LH1" s="7">
        <v>45972.0</v>
      </c>
      <c r="LI1" s="7">
        <v>45973.0</v>
      </c>
      <c r="LJ1" s="7">
        <v>45974.0</v>
      </c>
      <c r="LK1" s="7">
        <v>45975.0</v>
      </c>
      <c r="LL1" s="7">
        <v>45976.0</v>
      </c>
      <c r="LM1" s="7">
        <v>45977.0</v>
      </c>
      <c r="LN1" s="7">
        <v>45978.0</v>
      </c>
      <c r="LO1" s="7">
        <v>45979.0</v>
      </c>
      <c r="LP1" s="7">
        <v>45980.0</v>
      </c>
      <c r="LQ1" s="7">
        <v>45981.0</v>
      </c>
      <c r="LR1" s="7">
        <v>45982.0</v>
      </c>
      <c r="LS1" s="7">
        <v>45983.0</v>
      </c>
      <c r="LT1" s="7">
        <v>45984.0</v>
      </c>
      <c r="LU1" s="7">
        <v>45985.0</v>
      </c>
      <c r="LV1" s="7">
        <v>45986.0</v>
      </c>
      <c r="LW1" s="7">
        <v>45987.0</v>
      </c>
      <c r="LX1" s="7">
        <v>45988.0</v>
      </c>
      <c r="LY1" s="7">
        <v>45989.0</v>
      </c>
      <c r="LZ1" s="7">
        <v>45990.0</v>
      </c>
      <c r="MA1" s="7">
        <v>45991.0</v>
      </c>
      <c r="MB1" s="7">
        <v>45992.0</v>
      </c>
      <c r="MC1" s="7">
        <v>45993.0</v>
      </c>
      <c r="MD1" s="7">
        <v>45994.0</v>
      </c>
      <c r="ME1" s="7">
        <v>45995.0</v>
      </c>
      <c r="MF1" s="7">
        <v>45996.0</v>
      </c>
      <c r="MG1" s="7">
        <v>45997.0</v>
      </c>
      <c r="MH1" s="7">
        <v>45998.0</v>
      </c>
      <c r="MI1" s="7">
        <v>45999.0</v>
      </c>
      <c r="MJ1" s="7">
        <v>46000.0</v>
      </c>
      <c r="MK1" s="7">
        <v>46001.0</v>
      </c>
      <c r="ML1" s="7">
        <v>46002.0</v>
      </c>
      <c r="MM1" s="7">
        <v>46003.0</v>
      </c>
      <c r="MN1" s="7">
        <v>46004.0</v>
      </c>
      <c r="MO1" s="7">
        <v>46005.0</v>
      </c>
      <c r="MP1" s="7">
        <v>46006.0</v>
      </c>
      <c r="MQ1" s="7">
        <v>46007.0</v>
      </c>
      <c r="MR1" s="7">
        <v>46008.0</v>
      </c>
      <c r="MS1" s="7">
        <v>46009.0</v>
      </c>
      <c r="MT1" s="7">
        <v>46010.0</v>
      </c>
      <c r="MU1" s="7">
        <v>46011.0</v>
      </c>
      <c r="MV1" s="7">
        <v>46012.0</v>
      </c>
      <c r="MW1" s="7">
        <v>46013.0</v>
      </c>
      <c r="MX1" s="7">
        <v>46014.0</v>
      </c>
      <c r="MY1" s="7">
        <v>46015.0</v>
      </c>
      <c r="MZ1" s="7">
        <v>46016.0</v>
      </c>
      <c r="NA1" s="7">
        <v>46017.0</v>
      </c>
      <c r="NB1" s="7">
        <v>46018.0</v>
      </c>
      <c r="NC1" s="7">
        <v>46019.0</v>
      </c>
      <c r="ND1" s="7">
        <v>46020.0</v>
      </c>
      <c r="NE1" s="7">
        <v>46021.0</v>
      </c>
      <c r="NF1" s="7">
        <v>46022.0</v>
      </c>
      <c r="NG1" s="11" t="s">
        <v>66</v>
      </c>
      <c r="NH1" s="11" t="s">
        <v>67</v>
      </c>
      <c r="NI1" s="11" t="s">
        <v>62</v>
      </c>
    </row>
    <row r="2">
      <c r="A2" s="1" t="str">
        <f>'0_Key'!A1</f>
        <v>Priority</v>
      </c>
      <c r="B2" s="3" t="str">
        <f>'0_Key'!B1</f>
        <v>Type</v>
      </c>
      <c r="C2" s="3" t="str">
        <f>'0_Key'!D1</f>
        <v>Frequency</v>
      </c>
      <c r="D2" s="3" t="str">
        <f>'0_Key'!E1</f>
        <v>Day</v>
      </c>
      <c r="E2" s="3" t="s">
        <v>68</v>
      </c>
      <c r="F2" s="12">
        <v>45658.0</v>
      </c>
      <c r="G2" s="12">
        <v>45659.0</v>
      </c>
      <c r="H2" s="12">
        <v>45660.0</v>
      </c>
      <c r="I2" s="12">
        <v>45661.0</v>
      </c>
      <c r="J2" s="12">
        <v>45662.0</v>
      </c>
      <c r="K2" s="12">
        <v>45663.0</v>
      </c>
      <c r="L2" s="12">
        <v>45664.0</v>
      </c>
      <c r="M2" s="12">
        <v>45665.0</v>
      </c>
      <c r="N2" s="12">
        <v>45666.0</v>
      </c>
      <c r="O2" s="12">
        <v>45667.0</v>
      </c>
      <c r="P2" s="12">
        <v>45668.0</v>
      </c>
      <c r="Q2" s="12">
        <v>45669.0</v>
      </c>
      <c r="R2" s="12">
        <v>45670.0</v>
      </c>
      <c r="S2" s="12">
        <v>45671.0</v>
      </c>
      <c r="T2" s="12">
        <v>45672.0</v>
      </c>
      <c r="U2" s="12">
        <v>45673.0</v>
      </c>
      <c r="V2" s="12">
        <v>45674.0</v>
      </c>
      <c r="W2" s="12">
        <v>45675.0</v>
      </c>
      <c r="X2" s="12">
        <v>45676.0</v>
      </c>
      <c r="Y2" s="12">
        <v>45677.0</v>
      </c>
      <c r="Z2" s="12">
        <v>45678.0</v>
      </c>
      <c r="AA2" s="12">
        <v>45679.0</v>
      </c>
      <c r="AB2" s="12">
        <v>45680.0</v>
      </c>
      <c r="AC2" s="12">
        <v>45681.0</v>
      </c>
      <c r="AD2" s="12">
        <v>45682.0</v>
      </c>
      <c r="AE2" s="12">
        <v>45683.0</v>
      </c>
      <c r="AF2" s="12">
        <v>45684.0</v>
      </c>
      <c r="AG2" s="12">
        <v>45685.0</v>
      </c>
      <c r="AH2" s="12">
        <v>45686.0</v>
      </c>
      <c r="AI2" s="12">
        <v>45687.0</v>
      </c>
      <c r="AJ2" s="12">
        <v>45688.0</v>
      </c>
      <c r="AK2" s="12">
        <v>45689.0</v>
      </c>
      <c r="AL2" s="12">
        <v>45690.0</v>
      </c>
      <c r="AM2" s="12">
        <v>45691.0</v>
      </c>
      <c r="AN2" s="12">
        <v>45692.0</v>
      </c>
      <c r="AO2" s="12">
        <v>45693.0</v>
      </c>
      <c r="AP2" s="12">
        <v>45694.0</v>
      </c>
      <c r="AQ2" s="12">
        <v>45695.0</v>
      </c>
      <c r="AR2" s="12">
        <v>45696.0</v>
      </c>
      <c r="AS2" s="12">
        <v>45697.0</v>
      </c>
      <c r="AT2" s="12">
        <v>45698.0</v>
      </c>
      <c r="AU2" s="12">
        <v>45699.0</v>
      </c>
      <c r="AV2" s="12">
        <v>45700.0</v>
      </c>
      <c r="AW2" s="12">
        <v>45701.0</v>
      </c>
      <c r="AX2" s="12">
        <v>45702.0</v>
      </c>
      <c r="AY2" s="12">
        <v>45703.0</v>
      </c>
      <c r="AZ2" s="12">
        <v>45704.0</v>
      </c>
      <c r="BA2" s="12">
        <v>45705.0</v>
      </c>
      <c r="BB2" s="12">
        <v>45706.0</v>
      </c>
      <c r="BC2" s="12">
        <v>45707.0</v>
      </c>
      <c r="BD2" s="12">
        <v>45708.0</v>
      </c>
      <c r="BE2" s="12">
        <v>45709.0</v>
      </c>
      <c r="BF2" s="12">
        <v>45710.0</v>
      </c>
      <c r="BG2" s="12">
        <v>45711.0</v>
      </c>
      <c r="BH2" s="12">
        <v>45712.0</v>
      </c>
      <c r="BI2" s="12">
        <v>45713.0</v>
      </c>
      <c r="BJ2" s="12">
        <v>45714.0</v>
      </c>
      <c r="BK2" s="12">
        <v>45715.0</v>
      </c>
      <c r="BL2" s="12">
        <v>45716.0</v>
      </c>
      <c r="BM2" s="12">
        <v>45717.0</v>
      </c>
      <c r="BN2" s="12">
        <v>45718.0</v>
      </c>
      <c r="BO2" s="12">
        <v>45719.0</v>
      </c>
      <c r="BP2" s="12">
        <v>45720.0</v>
      </c>
      <c r="BQ2" s="12">
        <v>45721.0</v>
      </c>
      <c r="BR2" s="12">
        <v>45722.0</v>
      </c>
      <c r="BS2" s="12">
        <v>45723.0</v>
      </c>
      <c r="BT2" s="12">
        <v>45724.0</v>
      </c>
      <c r="BU2" s="12">
        <v>45725.0</v>
      </c>
      <c r="BV2" s="12">
        <v>45726.0</v>
      </c>
      <c r="BW2" s="12">
        <v>45727.0</v>
      </c>
      <c r="BX2" s="12">
        <v>45728.0</v>
      </c>
      <c r="BY2" s="12">
        <v>45729.0</v>
      </c>
      <c r="BZ2" s="12">
        <v>45730.0</v>
      </c>
      <c r="CA2" s="12">
        <v>45731.0</v>
      </c>
      <c r="CB2" s="12">
        <v>45732.0</v>
      </c>
      <c r="CC2" s="12">
        <v>45733.0</v>
      </c>
      <c r="CD2" s="12">
        <v>45734.0</v>
      </c>
      <c r="CE2" s="12">
        <v>45735.0</v>
      </c>
      <c r="CF2" s="12">
        <v>45736.0</v>
      </c>
      <c r="CG2" s="12">
        <v>45737.0</v>
      </c>
      <c r="CH2" s="12">
        <v>45738.0</v>
      </c>
      <c r="CI2" s="12">
        <v>45739.0</v>
      </c>
      <c r="CJ2" s="12">
        <v>45740.0</v>
      </c>
      <c r="CK2" s="12">
        <v>45741.0</v>
      </c>
      <c r="CL2" s="12">
        <v>45742.0</v>
      </c>
      <c r="CM2" s="12">
        <v>45743.0</v>
      </c>
      <c r="CN2" s="12">
        <v>45744.0</v>
      </c>
      <c r="CO2" s="12">
        <v>45745.0</v>
      </c>
      <c r="CP2" s="12">
        <v>45746.0</v>
      </c>
      <c r="CQ2" s="12">
        <v>45747.0</v>
      </c>
      <c r="CR2" s="12">
        <v>45748.0</v>
      </c>
      <c r="CS2" s="12">
        <v>45749.0</v>
      </c>
      <c r="CT2" s="12">
        <v>45750.0</v>
      </c>
      <c r="CU2" s="12">
        <v>45751.0</v>
      </c>
      <c r="CV2" s="12">
        <v>45752.0</v>
      </c>
      <c r="CW2" s="12">
        <v>45753.0</v>
      </c>
      <c r="CX2" s="12">
        <v>45754.0</v>
      </c>
      <c r="CY2" s="12">
        <v>45755.0</v>
      </c>
      <c r="CZ2" s="12">
        <v>45756.0</v>
      </c>
      <c r="DA2" s="12">
        <v>45757.0</v>
      </c>
      <c r="DB2" s="12">
        <v>45758.0</v>
      </c>
      <c r="DC2" s="12">
        <v>45759.0</v>
      </c>
      <c r="DD2" s="12">
        <v>45760.0</v>
      </c>
      <c r="DE2" s="12">
        <v>45761.0</v>
      </c>
      <c r="DF2" s="12">
        <v>45762.0</v>
      </c>
      <c r="DG2" s="12">
        <v>45763.0</v>
      </c>
      <c r="DH2" s="12">
        <v>45764.0</v>
      </c>
      <c r="DI2" s="12">
        <v>45765.0</v>
      </c>
      <c r="DJ2" s="12">
        <v>45766.0</v>
      </c>
      <c r="DK2" s="12">
        <v>45767.0</v>
      </c>
      <c r="DL2" s="12">
        <v>45768.0</v>
      </c>
      <c r="DM2" s="12">
        <v>45769.0</v>
      </c>
      <c r="DN2" s="12">
        <v>45770.0</v>
      </c>
      <c r="DO2" s="12">
        <v>45771.0</v>
      </c>
      <c r="DP2" s="12">
        <v>45772.0</v>
      </c>
      <c r="DQ2" s="12">
        <v>45773.0</v>
      </c>
      <c r="DR2" s="12">
        <v>45774.0</v>
      </c>
      <c r="DS2" s="12">
        <v>45775.0</v>
      </c>
      <c r="DT2" s="12">
        <v>45776.0</v>
      </c>
      <c r="DU2" s="12">
        <v>45777.0</v>
      </c>
      <c r="DV2" s="12">
        <v>45778.0</v>
      </c>
      <c r="DW2" s="12">
        <v>45779.0</v>
      </c>
      <c r="DX2" s="12">
        <v>45780.0</v>
      </c>
      <c r="DY2" s="12">
        <v>45781.0</v>
      </c>
      <c r="DZ2" s="12">
        <v>45782.0</v>
      </c>
      <c r="EA2" s="12">
        <v>45783.0</v>
      </c>
      <c r="EB2" s="12">
        <v>45784.0</v>
      </c>
      <c r="EC2" s="12">
        <v>45785.0</v>
      </c>
      <c r="ED2" s="12">
        <v>45786.0</v>
      </c>
      <c r="EE2" s="12">
        <v>45787.0</v>
      </c>
      <c r="EF2" s="12">
        <v>45788.0</v>
      </c>
      <c r="EG2" s="12">
        <v>45789.0</v>
      </c>
      <c r="EH2" s="12">
        <v>45790.0</v>
      </c>
      <c r="EI2" s="12">
        <v>45791.0</v>
      </c>
      <c r="EJ2" s="12">
        <v>45792.0</v>
      </c>
      <c r="EK2" s="12">
        <v>45793.0</v>
      </c>
      <c r="EL2" s="12">
        <v>45794.0</v>
      </c>
      <c r="EM2" s="12">
        <v>45795.0</v>
      </c>
      <c r="EN2" s="12">
        <v>45796.0</v>
      </c>
      <c r="EO2" s="12">
        <v>45797.0</v>
      </c>
      <c r="EP2" s="12">
        <v>45798.0</v>
      </c>
      <c r="EQ2" s="12">
        <v>45799.0</v>
      </c>
      <c r="ER2" s="12">
        <v>45800.0</v>
      </c>
      <c r="ES2" s="12">
        <v>45801.0</v>
      </c>
      <c r="ET2" s="12">
        <v>45802.0</v>
      </c>
      <c r="EU2" s="12">
        <v>45803.0</v>
      </c>
      <c r="EV2" s="12">
        <v>45804.0</v>
      </c>
      <c r="EW2" s="12">
        <v>45805.0</v>
      </c>
      <c r="EX2" s="12">
        <v>45806.0</v>
      </c>
      <c r="EY2" s="12">
        <v>45807.0</v>
      </c>
      <c r="EZ2" s="12">
        <v>45808.0</v>
      </c>
      <c r="FA2" s="12">
        <v>45809.0</v>
      </c>
      <c r="FB2" s="12">
        <v>45810.0</v>
      </c>
      <c r="FC2" s="12">
        <v>45811.0</v>
      </c>
      <c r="FD2" s="12">
        <v>45812.0</v>
      </c>
      <c r="FE2" s="12">
        <v>45813.0</v>
      </c>
      <c r="FF2" s="12">
        <v>45814.0</v>
      </c>
      <c r="FG2" s="12">
        <v>45815.0</v>
      </c>
      <c r="FH2" s="12">
        <v>45816.0</v>
      </c>
      <c r="FI2" s="12">
        <v>45817.0</v>
      </c>
      <c r="FJ2" s="12">
        <v>45818.0</v>
      </c>
      <c r="FK2" s="12">
        <v>45819.0</v>
      </c>
      <c r="FL2" s="12">
        <v>45820.0</v>
      </c>
      <c r="FM2" s="12">
        <v>45821.0</v>
      </c>
      <c r="FN2" s="12">
        <v>45822.0</v>
      </c>
      <c r="FO2" s="12">
        <v>45823.0</v>
      </c>
      <c r="FP2" s="12">
        <v>45824.0</v>
      </c>
      <c r="FQ2" s="12">
        <v>45825.0</v>
      </c>
      <c r="FR2" s="12">
        <v>45826.0</v>
      </c>
      <c r="FS2" s="12">
        <v>45827.0</v>
      </c>
      <c r="FT2" s="12">
        <v>45828.0</v>
      </c>
      <c r="FU2" s="12">
        <v>45829.0</v>
      </c>
      <c r="FV2" s="12">
        <v>45830.0</v>
      </c>
      <c r="FW2" s="12">
        <v>45831.0</v>
      </c>
      <c r="FX2" s="12">
        <v>45832.0</v>
      </c>
      <c r="FY2" s="12">
        <v>45833.0</v>
      </c>
      <c r="FZ2" s="12">
        <v>45834.0</v>
      </c>
      <c r="GA2" s="12">
        <v>45835.0</v>
      </c>
      <c r="GB2" s="12">
        <v>45836.0</v>
      </c>
      <c r="GC2" s="12">
        <v>45837.0</v>
      </c>
      <c r="GD2" s="12">
        <v>45838.0</v>
      </c>
      <c r="GE2" s="12">
        <v>45839.0</v>
      </c>
      <c r="GF2" s="12">
        <v>45840.0</v>
      </c>
      <c r="GG2" s="12">
        <v>45841.0</v>
      </c>
      <c r="GH2" s="12">
        <v>45842.0</v>
      </c>
      <c r="GI2" s="12">
        <v>45843.0</v>
      </c>
      <c r="GJ2" s="12">
        <v>45844.0</v>
      </c>
      <c r="GK2" s="12">
        <v>45845.0</v>
      </c>
      <c r="GL2" s="12">
        <v>45846.0</v>
      </c>
      <c r="GM2" s="12">
        <v>45847.0</v>
      </c>
      <c r="GN2" s="12">
        <v>45848.0</v>
      </c>
      <c r="GO2" s="12">
        <v>45849.0</v>
      </c>
      <c r="GP2" s="12">
        <v>45850.0</v>
      </c>
      <c r="GQ2" s="12">
        <v>45851.0</v>
      </c>
      <c r="GR2" s="12">
        <v>45852.0</v>
      </c>
      <c r="GS2" s="12">
        <v>45853.0</v>
      </c>
      <c r="GT2" s="12">
        <v>45854.0</v>
      </c>
      <c r="GU2" s="12">
        <v>45855.0</v>
      </c>
      <c r="GV2" s="12">
        <v>45856.0</v>
      </c>
      <c r="GW2" s="12">
        <v>45857.0</v>
      </c>
      <c r="GX2" s="12">
        <v>45858.0</v>
      </c>
      <c r="GY2" s="12">
        <v>45859.0</v>
      </c>
      <c r="GZ2" s="12">
        <v>45860.0</v>
      </c>
      <c r="HA2" s="12">
        <v>45861.0</v>
      </c>
      <c r="HB2" s="12">
        <v>45862.0</v>
      </c>
      <c r="HC2" s="12">
        <v>45863.0</v>
      </c>
      <c r="HD2" s="12">
        <v>45864.0</v>
      </c>
      <c r="HE2" s="12">
        <v>45865.0</v>
      </c>
      <c r="HF2" s="12">
        <v>45866.0</v>
      </c>
      <c r="HG2" s="12">
        <v>45867.0</v>
      </c>
      <c r="HH2" s="12">
        <v>45868.0</v>
      </c>
      <c r="HI2" s="12">
        <v>45869.0</v>
      </c>
      <c r="HJ2" s="12">
        <v>45870.0</v>
      </c>
      <c r="HK2" s="12">
        <v>45871.0</v>
      </c>
      <c r="HL2" s="12">
        <v>45872.0</v>
      </c>
      <c r="HM2" s="12">
        <v>45873.0</v>
      </c>
      <c r="HN2" s="12">
        <v>45874.0</v>
      </c>
      <c r="HO2" s="12">
        <v>45875.0</v>
      </c>
      <c r="HP2" s="12">
        <v>45876.0</v>
      </c>
      <c r="HQ2" s="12">
        <v>45877.0</v>
      </c>
      <c r="HR2" s="12">
        <v>45878.0</v>
      </c>
      <c r="HS2" s="12">
        <v>45879.0</v>
      </c>
      <c r="HT2" s="12">
        <v>45880.0</v>
      </c>
      <c r="HU2" s="12">
        <v>45881.0</v>
      </c>
      <c r="HV2" s="12">
        <v>45882.0</v>
      </c>
      <c r="HW2" s="12">
        <v>45883.0</v>
      </c>
      <c r="HX2" s="12">
        <v>45884.0</v>
      </c>
      <c r="HY2" s="12">
        <v>45885.0</v>
      </c>
      <c r="HZ2" s="12">
        <v>45886.0</v>
      </c>
      <c r="IA2" s="12">
        <v>45887.0</v>
      </c>
      <c r="IB2" s="12">
        <v>45888.0</v>
      </c>
      <c r="IC2" s="12">
        <v>45889.0</v>
      </c>
      <c r="ID2" s="12">
        <v>45890.0</v>
      </c>
      <c r="IE2" s="12">
        <v>45891.0</v>
      </c>
      <c r="IF2" s="12">
        <v>45892.0</v>
      </c>
      <c r="IG2" s="12">
        <v>45893.0</v>
      </c>
      <c r="IH2" s="12">
        <v>45894.0</v>
      </c>
      <c r="II2" s="12">
        <v>45895.0</v>
      </c>
      <c r="IJ2" s="12">
        <v>45896.0</v>
      </c>
      <c r="IK2" s="12">
        <v>45897.0</v>
      </c>
      <c r="IL2" s="12">
        <v>45898.0</v>
      </c>
      <c r="IM2" s="12">
        <v>45899.0</v>
      </c>
      <c r="IN2" s="12">
        <v>45900.0</v>
      </c>
      <c r="IO2" s="12">
        <v>45901.0</v>
      </c>
      <c r="IP2" s="12">
        <v>45902.0</v>
      </c>
      <c r="IQ2" s="12">
        <v>45903.0</v>
      </c>
      <c r="IR2" s="12">
        <v>45904.0</v>
      </c>
      <c r="IS2" s="12">
        <v>45905.0</v>
      </c>
      <c r="IT2" s="12">
        <v>45906.0</v>
      </c>
      <c r="IU2" s="12">
        <v>45907.0</v>
      </c>
      <c r="IV2" s="12">
        <v>45908.0</v>
      </c>
      <c r="IW2" s="12">
        <v>45909.0</v>
      </c>
      <c r="IX2" s="12">
        <v>45910.0</v>
      </c>
      <c r="IY2" s="12">
        <v>45911.0</v>
      </c>
      <c r="IZ2" s="12">
        <v>45912.0</v>
      </c>
      <c r="JA2" s="12">
        <v>45913.0</v>
      </c>
      <c r="JB2" s="12">
        <v>45914.0</v>
      </c>
      <c r="JC2" s="12">
        <v>45915.0</v>
      </c>
      <c r="JD2" s="12">
        <v>45916.0</v>
      </c>
      <c r="JE2" s="12">
        <v>45917.0</v>
      </c>
      <c r="JF2" s="12">
        <v>45918.0</v>
      </c>
      <c r="JG2" s="12">
        <v>45919.0</v>
      </c>
      <c r="JH2" s="12">
        <v>45920.0</v>
      </c>
      <c r="JI2" s="12">
        <v>45921.0</v>
      </c>
      <c r="JJ2" s="12">
        <v>45922.0</v>
      </c>
      <c r="JK2" s="12">
        <v>45923.0</v>
      </c>
      <c r="JL2" s="12">
        <v>45924.0</v>
      </c>
      <c r="JM2" s="12">
        <v>45925.0</v>
      </c>
      <c r="JN2" s="12">
        <v>45926.0</v>
      </c>
      <c r="JO2" s="12">
        <v>45927.0</v>
      </c>
      <c r="JP2" s="12">
        <v>45928.0</v>
      </c>
      <c r="JQ2" s="12">
        <v>45929.0</v>
      </c>
      <c r="JR2" s="12">
        <v>45930.0</v>
      </c>
      <c r="JS2" s="12">
        <v>45931.0</v>
      </c>
      <c r="JT2" s="12">
        <v>45932.0</v>
      </c>
      <c r="JU2" s="12">
        <v>45933.0</v>
      </c>
      <c r="JV2" s="12">
        <v>45934.0</v>
      </c>
      <c r="JW2" s="12">
        <v>45935.0</v>
      </c>
      <c r="JX2" s="12">
        <v>45936.0</v>
      </c>
      <c r="JY2" s="12">
        <v>45937.0</v>
      </c>
      <c r="JZ2" s="12">
        <v>45938.0</v>
      </c>
      <c r="KA2" s="12">
        <v>45939.0</v>
      </c>
      <c r="KB2" s="12">
        <v>45940.0</v>
      </c>
      <c r="KC2" s="12">
        <v>45941.0</v>
      </c>
      <c r="KD2" s="12">
        <v>45942.0</v>
      </c>
      <c r="KE2" s="12">
        <v>45943.0</v>
      </c>
      <c r="KF2" s="12">
        <v>45944.0</v>
      </c>
      <c r="KG2" s="12">
        <v>45945.0</v>
      </c>
      <c r="KH2" s="12">
        <v>45946.0</v>
      </c>
      <c r="KI2" s="12">
        <v>45947.0</v>
      </c>
      <c r="KJ2" s="12">
        <v>45948.0</v>
      </c>
      <c r="KK2" s="12">
        <v>45949.0</v>
      </c>
      <c r="KL2" s="12">
        <v>45950.0</v>
      </c>
      <c r="KM2" s="12">
        <v>45951.0</v>
      </c>
      <c r="KN2" s="12">
        <v>45952.0</v>
      </c>
      <c r="KO2" s="12">
        <v>45953.0</v>
      </c>
      <c r="KP2" s="12">
        <v>45954.0</v>
      </c>
      <c r="KQ2" s="12">
        <v>45955.0</v>
      </c>
      <c r="KR2" s="12">
        <v>45956.0</v>
      </c>
      <c r="KS2" s="12">
        <v>45957.0</v>
      </c>
      <c r="KT2" s="12">
        <v>45958.0</v>
      </c>
      <c r="KU2" s="12">
        <v>45959.0</v>
      </c>
      <c r="KV2" s="12">
        <v>45960.0</v>
      </c>
      <c r="KW2" s="12">
        <v>45961.0</v>
      </c>
      <c r="KX2" s="12">
        <v>45962.0</v>
      </c>
      <c r="KY2" s="12">
        <v>45963.0</v>
      </c>
      <c r="KZ2" s="12">
        <v>45964.0</v>
      </c>
      <c r="LA2" s="12">
        <v>45965.0</v>
      </c>
      <c r="LB2" s="12">
        <v>45966.0</v>
      </c>
      <c r="LC2" s="12">
        <v>45967.0</v>
      </c>
      <c r="LD2" s="12">
        <v>45968.0</v>
      </c>
      <c r="LE2" s="12">
        <v>45969.0</v>
      </c>
      <c r="LF2" s="12">
        <v>45970.0</v>
      </c>
      <c r="LG2" s="12">
        <v>45971.0</v>
      </c>
      <c r="LH2" s="12">
        <v>45972.0</v>
      </c>
      <c r="LI2" s="12">
        <v>45973.0</v>
      </c>
      <c r="LJ2" s="12">
        <v>45974.0</v>
      </c>
      <c r="LK2" s="12">
        <v>45975.0</v>
      </c>
      <c r="LL2" s="12">
        <v>45976.0</v>
      </c>
      <c r="LM2" s="12">
        <v>45977.0</v>
      </c>
      <c r="LN2" s="12">
        <v>45978.0</v>
      </c>
      <c r="LO2" s="12">
        <v>45979.0</v>
      </c>
      <c r="LP2" s="12">
        <v>45980.0</v>
      </c>
      <c r="LQ2" s="12">
        <v>45981.0</v>
      </c>
      <c r="LR2" s="12">
        <v>45982.0</v>
      </c>
      <c r="LS2" s="12">
        <v>45983.0</v>
      </c>
      <c r="LT2" s="12">
        <v>45984.0</v>
      </c>
      <c r="LU2" s="12">
        <v>45985.0</v>
      </c>
      <c r="LV2" s="12">
        <v>45986.0</v>
      </c>
      <c r="LW2" s="12">
        <v>45987.0</v>
      </c>
      <c r="LX2" s="12">
        <v>45988.0</v>
      </c>
      <c r="LY2" s="12">
        <v>45989.0</v>
      </c>
      <c r="LZ2" s="12">
        <v>45990.0</v>
      </c>
      <c r="MA2" s="12">
        <v>45991.0</v>
      </c>
      <c r="MB2" s="12">
        <v>45992.0</v>
      </c>
      <c r="MC2" s="12">
        <v>45993.0</v>
      </c>
      <c r="MD2" s="12">
        <v>45994.0</v>
      </c>
      <c r="ME2" s="12">
        <v>45995.0</v>
      </c>
      <c r="MF2" s="12">
        <v>45996.0</v>
      </c>
      <c r="MG2" s="12">
        <v>45997.0</v>
      </c>
      <c r="MH2" s="12">
        <v>45998.0</v>
      </c>
      <c r="MI2" s="12">
        <v>45999.0</v>
      </c>
      <c r="MJ2" s="12">
        <v>46000.0</v>
      </c>
      <c r="MK2" s="12">
        <v>46001.0</v>
      </c>
      <c r="ML2" s="12">
        <v>46002.0</v>
      </c>
      <c r="MM2" s="12">
        <v>46003.0</v>
      </c>
      <c r="MN2" s="12">
        <v>46004.0</v>
      </c>
      <c r="MO2" s="12">
        <v>46005.0</v>
      </c>
      <c r="MP2" s="12">
        <v>46006.0</v>
      </c>
      <c r="MQ2" s="12">
        <v>46007.0</v>
      </c>
      <c r="MR2" s="12">
        <v>46008.0</v>
      </c>
      <c r="MS2" s="12">
        <v>46009.0</v>
      </c>
      <c r="MT2" s="12">
        <v>46010.0</v>
      </c>
      <c r="MU2" s="12">
        <v>46011.0</v>
      </c>
      <c r="MV2" s="12">
        <v>46012.0</v>
      </c>
      <c r="MW2" s="12">
        <v>46013.0</v>
      </c>
      <c r="MX2" s="12">
        <v>46014.0</v>
      </c>
      <c r="MY2" s="12">
        <v>46015.0</v>
      </c>
      <c r="MZ2" s="12">
        <v>46016.0</v>
      </c>
      <c r="NA2" s="12">
        <v>46017.0</v>
      </c>
      <c r="NB2" s="12">
        <v>46018.0</v>
      </c>
      <c r="NC2" s="12">
        <v>46019.0</v>
      </c>
      <c r="ND2" s="12">
        <v>46020.0</v>
      </c>
      <c r="NE2" s="12">
        <v>46021.0</v>
      </c>
      <c r="NF2" s="12">
        <v>46022.0</v>
      </c>
      <c r="NG2" s="11"/>
      <c r="NH2" s="11"/>
      <c r="NI2" s="11"/>
    </row>
    <row r="3">
      <c r="A3" s="3" t="str">
        <f>'0_Key'!A2</f>
        <v>High</v>
      </c>
      <c r="B3" s="3" t="str">
        <f>'0_Key'!B2</f>
        <v>Professional</v>
      </c>
      <c r="C3" s="3" t="str">
        <f>'0_Key'!D2</f>
        <v>Daily</v>
      </c>
      <c r="D3" s="3" t="str">
        <f>'0_Key'!E2</f>
        <v>Daily</v>
      </c>
      <c r="E3" s="3" t="str">
        <f>'0_Key'!C2</f>
        <v>AI Practitioner / Certifications</v>
      </c>
      <c r="F3" s="3" t="s">
        <v>67</v>
      </c>
      <c r="G3" s="3" t="s">
        <v>67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  <c r="BL3" s="3" t="s">
        <v>66</v>
      </c>
      <c r="BM3" s="3" t="s">
        <v>66</v>
      </c>
      <c r="BN3" s="3" t="s">
        <v>66</v>
      </c>
      <c r="BO3" s="3" t="s">
        <v>66</v>
      </c>
      <c r="BP3" s="3" t="s">
        <v>66</v>
      </c>
      <c r="BQ3" s="3" t="s">
        <v>66</v>
      </c>
      <c r="BR3" s="3" t="s">
        <v>66</v>
      </c>
      <c r="BS3" s="3" t="s">
        <v>66</v>
      </c>
      <c r="BT3" s="3" t="s">
        <v>66</v>
      </c>
      <c r="BU3" s="3" t="s">
        <v>66</v>
      </c>
      <c r="BV3" s="3" t="s">
        <v>66</v>
      </c>
      <c r="BW3" s="3" t="s">
        <v>66</v>
      </c>
      <c r="BX3" s="3" t="s">
        <v>66</v>
      </c>
      <c r="BY3" s="3" t="s">
        <v>66</v>
      </c>
      <c r="BZ3" s="3" t="s">
        <v>66</v>
      </c>
      <c r="CA3" s="3" t="s">
        <v>66</v>
      </c>
      <c r="CB3" s="3" t="s">
        <v>66</v>
      </c>
      <c r="CC3" s="3" t="s">
        <v>66</v>
      </c>
      <c r="CD3" s="3" t="s">
        <v>66</v>
      </c>
      <c r="CE3" s="3" t="s">
        <v>66</v>
      </c>
      <c r="CF3" s="3" t="s">
        <v>66</v>
      </c>
      <c r="CG3" s="3" t="s">
        <v>66</v>
      </c>
      <c r="CH3" s="3" t="s">
        <v>66</v>
      </c>
      <c r="CI3" s="3" t="s">
        <v>66</v>
      </c>
      <c r="CJ3" s="3" t="s">
        <v>66</v>
      </c>
      <c r="CK3" s="3" t="s">
        <v>66</v>
      </c>
      <c r="CL3" s="3" t="s">
        <v>66</v>
      </c>
      <c r="CM3" s="3" t="s">
        <v>66</v>
      </c>
      <c r="CN3" s="3" t="s">
        <v>66</v>
      </c>
      <c r="CO3" s="3" t="s">
        <v>66</v>
      </c>
      <c r="CP3" s="3" t="s">
        <v>66</v>
      </c>
      <c r="CQ3" s="3" t="s">
        <v>66</v>
      </c>
      <c r="CR3" s="3" t="s">
        <v>66</v>
      </c>
      <c r="CS3" s="3" t="s">
        <v>66</v>
      </c>
      <c r="CT3" s="3" t="s">
        <v>66</v>
      </c>
      <c r="CU3" s="3" t="s">
        <v>66</v>
      </c>
      <c r="CV3" s="3" t="s">
        <v>66</v>
      </c>
      <c r="CW3" s="3" t="s">
        <v>66</v>
      </c>
      <c r="CX3" s="3" t="s">
        <v>66</v>
      </c>
      <c r="CY3" s="3" t="s">
        <v>66</v>
      </c>
      <c r="CZ3" s="3" t="s">
        <v>66</v>
      </c>
      <c r="DA3" s="3" t="s">
        <v>66</v>
      </c>
      <c r="DB3" s="3" t="s">
        <v>66</v>
      </c>
      <c r="DC3" s="3" t="s">
        <v>66</v>
      </c>
      <c r="DD3" s="3" t="s">
        <v>66</v>
      </c>
      <c r="DE3" s="3" t="s">
        <v>66</v>
      </c>
      <c r="DF3" s="3" t="s">
        <v>66</v>
      </c>
      <c r="DG3" s="3" t="s">
        <v>66</v>
      </c>
      <c r="DH3" s="3" t="s">
        <v>66</v>
      </c>
      <c r="DI3" s="3" t="s">
        <v>66</v>
      </c>
      <c r="DJ3" s="3" t="s">
        <v>66</v>
      </c>
      <c r="DK3" s="3" t="s">
        <v>66</v>
      </c>
      <c r="DL3" s="3" t="s">
        <v>66</v>
      </c>
      <c r="DM3" s="3" t="s">
        <v>66</v>
      </c>
      <c r="DN3" s="3" t="s">
        <v>66</v>
      </c>
      <c r="DO3" s="3" t="s">
        <v>66</v>
      </c>
      <c r="DP3" s="3" t="s">
        <v>66</v>
      </c>
      <c r="DQ3" s="3" t="s">
        <v>66</v>
      </c>
      <c r="DR3" s="3" t="s">
        <v>66</v>
      </c>
      <c r="DS3" s="3" t="s">
        <v>66</v>
      </c>
      <c r="DT3" s="3" t="s">
        <v>66</v>
      </c>
      <c r="DU3" s="3" t="s">
        <v>66</v>
      </c>
      <c r="DV3" s="3" t="s">
        <v>66</v>
      </c>
      <c r="DW3" s="3" t="s">
        <v>66</v>
      </c>
      <c r="DX3" s="3" t="s">
        <v>66</v>
      </c>
      <c r="DY3" s="3" t="s">
        <v>66</v>
      </c>
      <c r="DZ3" s="3" t="s">
        <v>66</v>
      </c>
      <c r="EA3" s="3" t="s">
        <v>66</v>
      </c>
      <c r="EB3" s="3" t="s">
        <v>66</v>
      </c>
      <c r="EC3" s="3" t="s">
        <v>66</v>
      </c>
      <c r="ED3" s="3" t="s">
        <v>66</v>
      </c>
      <c r="EE3" s="3" t="s">
        <v>66</v>
      </c>
      <c r="EF3" s="3" t="s">
        <v>66</v>
      </c>
      <c r="EG3" s="3" t="s">
        <v>66</v>
      </c>
      <c r="EH3" s="3" t="s">
        <v>66</v>
      </c>
      <c r="EI3" s="3" t="s">
        <v>66</v>
      </c>
      <c r="EJ3" s="3" t="s">
        <v>66</v>
      </c>
      <c r="EK3" s="3" t="s">
        <v>66</v>
      </c>
      <c r="EL3" s="3" t="s">
        <v>66</v>
      </c>
      <c r="EM3" s="3" t="s">
        <v>66</v>
      </c>
      <c r="EN3" s="3" t="s">
        <v>66</v>
      </c>
      <c r="EO3" s="3" t="s">
        <v>66</v>
      </c>
      <c r="EP3" s="3" t="s">
        <v>66</v>
      </c>
      <c r="EQ3" s="3" t="s">
        <v>66</v>
      </c>
      <c r="ER3" s="3" t="s">
        <v>66</v>
      </c>
      <c r="ES3" s="3" t="s">
        <v>66</v>
      </c>
      <c r="ET3" s="3" t="s">
        <v>66</v>
      </c>
      <c r="EU3" s="3" t="s">
        <v>66</v>
      </c>
      <c r="EV3" s="3" t="s">
        <v>66</v>
      </c>
      <c r="EW3" s="3" t="s">
        <v>66</v>
      </c>
      <c r="EX3" s="3" t="s">
        <v>66</v>
      </c>
      <c r="EY3" s="3" t="s">
        <v>66</v>
      </c>
      <c r="EZ3" s="3" t="s">
        <v>66</v>
      </c>
      <c r="FA3" s="3" t="s">
        <v>66</v>
      </c>
      <c r="FB3" s="3" t="s">
        <v>66</v>
      </c>
      <c r="FC3" s="3" t="s">
        <v>66</v>
      </c>
      <c r="FD3" s="3" t="s">
        <v>66</v>
      </c>
      <c r="FE3" s="3" t="s">
        <v>66</v>
      </c>
      <c r="FF3" s="3" t="s">
        <v>66</v>
      </c>
      <c r="FG3" s="3" t="s">
        <v>66</v>
      </c>
      <c r="FH3" s="3" t="s">
        <v>66</v>
      </c>
      <c r="FI3" s="3" t="s">
        <v>66</v>
      </c>
      <c r="FJ3" s="3" t="s">
        <v>66</v>
      </c>
      <c r="FK3" s="3" t="s">
        <v>66</v>
      </c>
      <c r="FL3" s="3" t="s">
        <v>66</v>
      </c>
      <c r="FM3" s="3" t="s">
        <v>66</v>
      </c>
      <c r="FN3" s="3" t="s">
        <v>66</v>
      </c>
      <c r="FO3" s="3" t="s">
        <v>66</v>
      </c>
      <c r="FP3" s="3" t="s">
        <v>66</v>
      </c>
      <c r="FQ3" s="3" t="s">
        <v>66</v>
      </c>
      <c r="FR3" s="3" t="s">
        <v>66</v>
      </c>
      <c r="FS3" s="3" t="s">
        <v>66</v>
      </c>
      <c r="FT3" s="3" t="s">
        <v>66</v>
      </c>
      <c r="FU3" s="3" t="s">
        <v>66</v>
      </c>
      <c r="FV3" s="3" t="s">
        <v>66</v>
      </c>
      <c r="FW3" s="3" t="s">
        <v>66</v>
      </c>
      <c r="FX3" s="3" t="s">
        <v>66</v>
      </c>
      <c r="FY3" s="3" t="s">
        <v>66</v>
      </c>
      <c r="FZ3" s="3" t="s">
        <v>66</v>
      </c>
      <c r="GA3" s="3" t="s">
        <v>66</v>
      </c>
      <c r="GB3" s="3" t="s">
        <v>66</v>
      </c>
      <c r="GC3" s="3" t="s">
        <v>66</v>
      </c>
      <c r="GD3" s="3" t="s">
        <v>66</v>
      </c>
      <c r="GE3" s="3" t="s">
        <v>66</v>
      </c>
      <c r="GF3" s="3" t="s">
        <v>66</v>
      </c>
      <c r="GG3" s="3" t="s">
        <v>66</v>
      </c>
      <c r="GH3" s="3" t="s">
        <v>66</v>
      </c>
      <c r="GI3" s="3" t="s">
        <v>66</v>
      </c>
      <c r="GJ3" s="3" t="s">
        <v>66</v>
      </c>
      <c r="GK3" s="3" t="s">
        <v>66</v>
      </c>
      <c r="GL3" s="3" t="s">
        <v>66</v>
      </c>
      <c r="GM3" s="3" t="s">
        <v>66</v>
      </c>
      <c r="GN3" s="3" t="s">
        <v>66</v>
      </c>
      <c r="GO3" s="3" t="s">
        <v>66</v>
      </c>
      <c r="GP3" s="3" t="s">
        <v>66</v>
      </c>
      <c r="GQ3" s="3" t="s">
        <v>66</v>
      </c>
      <c r="GR3" s="3" t="s">
        <v>66</v>
      </c>
      <c r="GS3" s="3" t="s">
        <v>66</v>
      </c>
      <c r="GT3" s="3" t="s">
        <v>66</v>
      </c>
      <c r="GU3" s="3" t="s">
        <v>66</v>
      </c>
      <c r="GV3" s="3" t="s">
        <v>66</v>
      </c>
      <c r="GW3" s="3" t="s">
        <v>66</v>
      </c>
      <c r="GX3" s="3" t="s">
        <v>66</v>
      </c>
      <c r="GY3" s="3" t="s">
        <v>66</v>
      </c>
      <c r="GZ3" s="3" t="s">
        <v>66</v>
      </c>
      <c r="HA3" s="3" t="s">
        <v>66</v>
      </c>
      <c r="HB3" s="3" t="s">
        <v>66</v>
      </c>
      <c r="HC3" s="3" t="s">
        <v>66</v>
      </c>
      <c r="HD3" s="3" t="s">
        <v>66</v>
      </c>
      <c r="HE3" s="3" t="s">
        <v>66</v>
      </c>
      <c r="HF3" s="3" t="s">
        <v>66</v>
      </c>
      <c r="HG3" s="3" t="s">
        <v>66</v>
      </c>
      <c r="HH3" s="3" t="s">
        <v>66</v>
      </c>
      <c r="HI3" s="3" t="s">
        <v>66</v>
      </c>
      <c r="HJ3" s="3" t="s">
        <v>66</v>
      </c>
      <c r="HK3" s="3" t="s">
        <v>66</v>
      </c>
      <c r="HL3" s="3" t="s">
        <v>66</v>
      </c>
      <c r="HM3" s="3" t="s">
        <v>66</v>
      </c>
      <c r="HN3" s="3" t="s">
        <v>66</v>
      </c>
      <c r="HO3" s="3" t="s">
        <v>66</v>
      </c>
      <c r="HP3" s="3" t="s">
        <v>66</v>
      </c>
      <c r="HQ3" s="3" t="s">
        <v>66</v>
      </c>
      <c r="HR3" s="3" t="s">
        <v>66</v>
      </c>
      <c r="HS3" s="3" t="s">
        <v>66</v>
      </c>
      <c r="HT3" s="3" t="s">
        <v>66</v>
      </c>
      <c r="HU3" s="3" t="s">
        <v>66</v>
      </c>
      <c r="HV3" s="3" t="s">
        <v>66</v>
      </c>
      <c r="HW3" s="3" t="s">
        <v>66</v>
      </c>
      <c r="HX3" s="3" t="s">
        <v>66</v>
      </c>
      <c r="HY3" s="3" t="s">
        <v>66</v>
      </c>
      <c r="HZ3" s="3" t="s">
        <v>66</v>
      </c>
      <c r="IA3" s="3" t="s">
        <v>66</v>
      </c>
      <c r="IB3" s="3" t="s">
        <v>66</v>
      </c>
      <c r="IC3" s="3" t="s">
        <v>66</v>
      </c>
      <c r="ID3" s="3" t="s">
        <v>66</v>
      </c>
      <c r="IE3" s="3" t="s">
        <v>66</v>
      </c>
      <c r="IF3" s="3" t="s">
        <v>66</v>
      </c>
      <c r="IG3" s="3" t="s">
        <v>66</v>
      </c>
      <c r="IH3" s="3" t="s">
        <v>66</v>
      </c>
      <c r="II3" s="3" t="s">
        <v>66</v>
      </c>
      <c r="IJ3" s="3" t="s">
        <v>66</v>
      </c>
      <c r="IK3" s="3" t="s">
        <v>66</v>
      </c>
      <c r="IL3" s="3" t="s">
        <v>66</v>
      </c>
      <c r="IM3" s="3" t="s">
        <v>66</v>
      </c>
      <c r="IN3" s="3" t="s">
        <v>66</v>
      </c>
      <c r="IO3" s="3" t="s">
        <v>66</v>
      </c>
      <c r="IP3" s="3" t="s">
        <v>66</v>
      </c>
      <c r="IQ3" s="3" t="s">
        <v>66</v>
      </c>
      <c r="IR3" s="3" t="s">
        <v>66</v>
      </c>
      <c r="IS3" s="3" t="s">
        <v>66</v>
      </c>
      <c r="IT3" s="3" t="s">
        <v>66</v>
      </c>
      <c r="IU3" s="3" t="s">
        <v>66</v>
      </c>
      <c r="IV3" s="3" t="s">
        <v>66</v>
      </c>
      <c r="IW3" s="3" t="s">
        <v>66</v>
      </c>
      <c r="IX3" s="3" t="s">
        <v>66</v>
      </c>
      <c r="IY3" s="3" t="s">
        <v>66</v>
      </c>
      <c r="IZ3" s="3" t="s">
        <v>66</v>
      </c>
      <c r="JA3" s="3" t="s">
        <v>66</v>
      </c>
      <c r="JB3" s="3" t="s">
        <v>66</v>
      </c>
      <c r="JC3" s="3" t="s">
        <v>66</v>
      </c>
      <c r="JD3" s="3" t="s">
        <v>66</v>
      </c>
      <c r="JE3" s="3" t="s">
        <v>66</v>
      </c>
      <c r="JF3" s="3" t="s">
        <v>66</v>
      </c>
      <c r="JG3" s="3" t="s">
        <v>66</v>
      </c>
      <c r="JH3" s="3" t="s">
        <v>66</v>
      </c>
      <c r="JI3" s="3" t="s">
        <v>66</v>
      </c>
      <c r="JJ3" s="3" t="s">
        <v>66</v>
      </c>
      <c r="JK3" s="3" t="s">
        <v>66</v>
      </c>
      <c r="JL3" s="3" t="s">
        <v>66</v>
      </c>
      <c r="JM3" s="3" t="s">
        <v>66</v>
      </c>
      <c r="JN3" s="3" t="s">
        <v>66</v>
      </c>
      <c r="JO3" s="3" t="s">
        <v>66</v>
      </c>
      <c r="JP3" s="3" t="s">
        <v>66</v>
      </c>
      <c r="JQ3" s="3" t="s">
        <v>66</v>
      </c>
      <c r="JR3" s="3" t="s">
        <v>66</v>
      </c>
      <c r="JS3" s="3" t="s">
        <v>66</v>
      </c>
      <c r="JT3" s="3" t="s">
        <v>66</v>
      </c>
      <c r="JU3" s="3" t="s">
        <v>66</v>
      </c>
      <c r="JV3" s="3" t="s">
        <v>66</v>
      </c>
      <c r="JW3" s="3" t="s">
        <v>66</v>
      </c>
      <c r="JX3" s="3" t="s">
        <v>66</v>
      </c>
      <c r="JY3" s="3" t="s">
        <v>66</v>
      </c>
      <c r="JZ3" s="3" t="s">
        <v>66</v>
      </c>
      <c r="KA3" s="3" t="s">
        <v>66</v>
      </c>
      <c r="KB3" s="3" t="s">
        <v>66</v>
      </c>
      <c r="KC3" s="3" t="s">
        <v>66</v>
      </c>
      <c r="KD3" s="3" t="s">
        <v>66</v>
      </c>
      <c r="KE3" s="3" t="s">
        <v>66</v>
      </c>
      <c r="KF3" s="3" t="s">
        <v>66</v>
      </c>
      <c r="KG3" s="3" t="s">
        <v>66</v>
      </c>
      <c r="KH3" s="3" t="s">
        <v>66</v>
      </c>
      <c r="KI3" s="3" t="s">
        <v>66</v>
      </c>
      <c r="KJ3" s="3" t="s">
        <v>66</v>
      </c>
      <c r="KK3" s="3" t="s">
        <v>66</v>
      </c>
      <c r="KL3" s="3" t="s">
        <v>66</v>
      </c>
      <c r="KM3" s="3" t="s">
        <v>66</v>
      </c>
      <c r="KN3" s="3" t="s">
        <v>66</v>
      </c>
      <c r="KO3" s="3" t="s">
        <v>66</v>
      </c>
      <c r="KP3" s="3" t="s">
        <v>66</v>
      </c>
      <c r="KQ3" s="3" t="s">
        <v>66</v>
      </c>
      <c r="KR3" s="3" t="s">
        <v>66</v>
      </c>
      <c r="KS3" s="3" t="s">
        <v>66</v>
      </c>
      <c r="KT3" s="3" t="s">
        <v>66</v>
      </c>
      <c r="KU3" s="3" t="s">
        <v>66</v>
      </c>
      <c r="KV3" s="3" t="s">
        <v>66</v>
      </c>
      <c r="KW3" s="3" t="s">
        <v>66</v>
      </c>
      <c r="KX3" s="3" t="s">
        <v>66</v>
      </c>
      <c r="KY3" s="3" t="s">
        <v>66</v>
      </c>
      <c r="KZ3" s="3" t="s">
        <v>66</v>
      </c>
      <c r="LA3" s="3" t="s">
        <v>66</v>
      </c>
      <c r="LB3" s="3" t="s">
        <v>66</v>
      </c>
      <c r="LC3" s="3" t="s">
        <v>66</v>
      </c>
      <c r="LD3" s="3" t="s">
        <v>66</v>
      </c>
      <c r="LE3" s="3" t="s">
        <v>66</v>
      </c>
      <c r="LF3" s="3" t="s">
        <v>66</v>
      </c>
      <c r="LG3" s="3" t="s">
        <v>66</v>
      </c>
      <c r="LH3" s="3" t="s">
        <v>66</v>
      </c>
      <c r="LI3" s="3" t="s">
        <v>66</v>
      </c>
      <c r="LJ3" s="3" t="s">
        <v>66</v>
      </c>
      <c r="LK3" s="3" t="s">
        <v>66</v>
      </c>
      <c r="LL3" s="3" t="s">
        <v>66</v>
      </c>
      <c r="LM3" s="3" t="s">
        <v>66</v>
      </c>
      <c r="LN3" s="3" t="s">
        <v>66</v>
      </c>
      <c r="LO3" s="3" t="s">
        <v>66</v>
      </c>
      <c r="LP3" s="3" t="s">
        <v>66</v>
      </c>
      <c r="LQ3" s="3" t="s">
        <v>66</v>
      </c>
      <c r="LR3" s="3" t="s">
        <v>66</v>
      </c>
      <c r="LS3" s="3" t="s">
        <v>66</v>
      </c>
      <c r="LT3" s="3" t="s">
        <v>66</v>
      </c>
      <c r="LU3" s="3" t="s">
        <v>66</v>
      </c>
      <c r="LV3" s="3" t="s">
        <v>66</v>
      </c>
      <c r="LW3" s="3" t="s">
        <v>66</v>
      </c>
      <c r="LX3" s="3" t="s">
        <v>66</v>
      </c>
      <c r="LY3" s="3" t="s">
        <v>66</v>
      </c>
      <c r="LZ3" s="3" t="s">
        <v>66</v>
      </c>
      <c r="MA3" s="3" t="s">
        <v>66</v>
      </c>
      <c r="MB3" s="3" t="s">
        <v>66</v>
      </c>
      <c r="MC3" s="3" t="s">
        <v>66</v>
      </c>
      <c r="MD3" s="3" t="s">
        <v>66</v>
      </c>
      <c r="ME3" s="3" t="s">
        <v>66</v>
      </c>
      <c r="MF3" s="3" t="s">
        <v>66</v>
      </c>
      <c r="MG3" s="3" t="s">
        <v>66</v>
      </c>
      <c r="MH3" s="3" t="s">
        <v>66</v>
      </c>
      <c r="MI3" s="3" t="s">
        <v>66</v>
      </c>
      <c r="MJ3" s="3" t="s">
        <v>66</v>
      </c>
      <c r="MK3" s="3" t="s">
        <v>66</v>
      </c>
      <c r="ML3" s="3" t="s">
        <v>66</v>
      </c>
      <c r="MM3" s="3" t="s">
        <v>66</v>
      </c>
      <c r="MN3" s="3" t="s">
        <v>66</v>
      </c>
      <c r="MO3" s="3" t="s">
        <v>66</v>
      </c>
      <c r="MP3" s="3" t="s">
        <v>66</v>
      </c>
      <c r="MQ3" s="3" t="s">
        <v>66</v>
      </c>
      <c r="MR3" s="3" t="s">
        <v>66</v>
      </c>
      <c r="MS3" s="3" t="s">
        <v>66</v>
      </c>
      <c r="MT3" s="3" t="s">
        <v>66</v>
      </c>
      <c r="MU3" s="3" t="s">
        <v>66</v>
      </c>
      <c r="MV3" s="3" t="s">
        <v>66</v>
      </c>
      <c r="MW3" s="3" t="s">
        <v>66</v>
      </c>
      <c r="MX3" s="3" t="s">
        <v>66</v>
      </c>
      <c r="MY3" s="3" t="s">
        <v>66</v>
      </c>
      <c r="MZ3" s="3" t="s">
        <v>66</v>
      </c>
      <c r="NA3" s="3" t="s">
        <v>66</v>
      </c>
      <c r="NB3" s="3" t="s">
        <v>66</v>
      </c>
      <c r="NC3" s="3" t="s">
        <v>66</v>
      </c>
      <c r="ND3" s="3" t="s">
        <v>66</v>
      </c>
      <c r="NE3" s="3" t="s">
        <v>66</v>
      </c>
      <c r="NF3" s="3" t="s">
        <v>66</v>
      </c>
      <c r="NG3" s="3">
        <f t="shared" ref="NG3:NG12" si="1">COUNTIF(F3:NF3,"NS")</f>
        <v>363</v>
      </c>
      <c r="NH3" s="3">
        <f t="shared" ref="NH3:NH12" si="2">COUNTIF(F3:NF3,"C")</f>
        <v>2</v>
      </c>
      <c r="NI3" s="3">
        <f t="shared" ref="NI3:NI12" si="3">COUNTIF(F3:NF3,"F")</f>
        <v>0</v>
      </c>
    </row>
    <row r="4">
      <c r="A4" s="3" t="str">
        <f>'0_Key'!A3</f>
        <v>High</v>
      </c>
      <c r="B4" s="3" t="str">
        <f>'0_Key'!B3</f>
        <v>Health</v>
      </c>
      <c r="C4" s="3" t="str">
        <f>'0_Key'!D3</f>
        <v>Daily</v>
      </c>
      <c r="D4" s="3" t="str">
        <f>'0_Key'!E3</f>
        <v>Daily</v>
      </c>
      <c r="E4" s="3" t="str">
        <f>'0_Key'!C3</f>
        <v>Speed Ball / Bike / Run</v>
      </c>
      <c r="F4" s="3" t="s">
        <v>62</v>
      </c>
      <c r="G4" s="3" t="s">
        <v>67</v>
      </c>
      <c r="H4" s="3" t="s">
        <v>66</v>
      </c>
      <c r="I4" s="3" t="s">
        <v>66</v>
      </c>
      <c r="J4" s="3" t="s">
        <v>66</v>
      </c>
      <c r="K4" s="3" t="s">
        <v>66</v>
      </c>
      <c r="L4" s="3" t="s">
        <v>66</v>
      </c>
      <c r="M4" s="3" t="s">
        <v>66</v>
      </c>
      <c r="N4" s="3" t="s">
        <v>66</v>
      </c>
      <c r="O4" s="3" t="s">
        <v>66</v>
      </c>
      <c r="P4" s="3" t="s">
        <v>66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66</v>
      </c>
      <c r="BL4" s="3" t="s">
        <v>66</v>
      </c>
      <c r="BM4" s="3" t="s">
        <v>66</v>
      </c>
      <c r="BN4" s="3" t="s">
        <v>66</v>
      </c>
      <c r="BO4" s="3" t="s">
        <v>66</v>
      </c>
      <c r="BP4" s="3" t="s">
        <v>66</v>
      </c>
      <c r="BQ4" s="3" t="s">
        <v>66</v>
      </c>
      <c r="BR4" s="3" t="s">
        <v>66</v>
      </c>
      <c r="BS4" s="3" t="s">
        <v>66</v>
      </c>
      <c r="BT4" s="3" t="s">
        <v>66</v>
      </c>
      <c r="BU4" s="3" t="s">
        <v>66</v>
      </c>
      <c r="BV4" s="3" t="s">
        <v>66</v>
      </c>
      <c r="BW4" s="3" t="s">
        <v>66</v>
      </c>
      <c r="BX4" s="3" t="s">
        <v>66</v>
      </c>
      <c r="BY4" s="3" t="s">
        <v>66</v>
      </c>
      <c r="BZ4" s="3" t="s">
        <v>66</v>
      </c>
      <c r="CA4" s="3" t="s">
        <v>66</v>
      </c>
      <c r="CB4" s="3" t="s">
        <v>66</v>
      </c>
      <c r="CC4" s="3" t="s">
        <v>66</v>
      </c>
      <c r="CD4" s="3" t="s">
        <v>66</v>
      </c>
      <c r="CE4" s="3" t="s">
        <v>66</v>
      </c>
      <c r="CF4" s="3" t="s">
        <v>66</v>
      </c>
      <c r="CG4" s="3" t="s">
        <v>66</v>
      </c>
      <c r="CH4" s="3" t="s">
        <v>66</v>
      </c>
      <c r="CI4" s="3" t="s">
        <v>66</v>
      </c>
      <c r="CJ4" s="3" t="s">
        <v>66</v>
      </c>
      <c r="CK4" s="3" t="s">
        <v>66</v>
      </c>
      <c r="CL4" s="3" t="s">
        <v>66</v>
      </c>
      <c r="CM4" s="3" t="s">
        <v>66</v>
      </c>
      <c r="CN4" s="3" t="s">
        <v>66</v>
      </c>
      <c r="CO4" s="3" t="s">
        <v>66</v>
      </c>
      <c r="CP4" s="3" t="s">
        <v>66</v>
      </c>
      <c r="CQ4" s="3" t="s">
        <v>66</v>
      </c>
      <c r="CR4" s="3" t="s">
        <v>66</v>
      </c>
      <c r="CS4" s="3" t="s">
        <v>66</v>
      </c>
      <c r="CT4" s="3" t="s">
        <v>66</v>
      </c>
      <c r="CU4" s="3" t="s">
        <v>66</v>
      </c>
      <c r="CV4" s="3" t="s">
        <v>66</v>
      </c>
      <c r="CW4" s="3" t="s">
        <v>66</v>
      </c>
      <c r="CX4" s="3" t="s">
        <v>66</v>
      </c>
      <c r="CY4" s="3" t="s">
        <v>66</v>
      </c>
      <c r="CZ4" s="3" t="s">
        <v>66</v>
      </c>
      <c r="DA4" s="3" t="s">
        <v>66</v>
      </c>
      <c r="DB4" s="3" t="s">
        <v>66</v>
      </c>
      <c r="DC4" s="3" t="s">
        <v>66</v>
      </c>
      <c r="DD4" s="3" t="s">
        <v>66</v>
      </c>
      <c r="DE4" s="3" t="s">
        <v>66</v>
      </c>
      <c r="DF4" s="3" t="s">
        <v>66</v>
      </c>
      <c r="DG4" s="3" t="s">
        <v>66</v>
      </c>
      <c r="DH4" s="3" t="s">
        <v>66</v>
      </c>
      <c r="DI4" s="3" t="s">
        <v>66</v>
      </c>
      <c r="DJ4" s="3" t="s">
        <v>66</v>
      </c>
      <c r="DK4" s="3" t="s">
        <v>66</v>
      </c>
      <c r="DL4" s="3" t="s">
        <v>66</v>
      </c>
      <c r="DM4" s="3" t="s">
        <v>66</v>
      </c>
      <c r="DN4" s="3" t="s">
        <v>66</v>
      </c>
      <c r="DO4" s="3" t="s">
        <v>66</v>
      </c>
      <c r="DP4" s="3" t="s">
        <v>66</v>
      </c>
      <c r="DQ4" s="3" t="s">
        <v>66</v>
      </c>
      <c r="DR4" s="3" t="s">
        <v>66</v>
      </c>
      <c r="DS4" s="3" t="s">
        <v>66</v>
      </c>
      <c r="DT4" s="3" t="s">
        <v>66</v>
      </c>
      <c r="DU4" s="3" t="s">
        <v>66</v>
      </c>
      <c r="DV4" s="3" t="s">
        <v>66</v>
      </c>
      <c r="DW4" s="3" t="s">
        <v>66</v>
      </c>
      <c r="DX4" s="3" t="s">
        <v>66</v>
      </c>
      <c r="DY4" s="3" t="s">
        <v>66</v>
      </c>
      <c r="DZ4" s="3" t="s">
        <v>66</v>
      </c>
      <c r="EA4" s="3" t="s">
        <v>66</v>
      </c>
      <c r="EB4" s="3" t="s">
        <v>66</v>
      </c>
      <c r="EC4" s="3" t="s">
        <v>66</v>
      </c>
      <c r="ED4" s="3" t="s">
        <v>66</v>
      </c>
      <c r="EE4" s="3" t="s">
        <v>66</v>
      </c>
      <c r="EF4" s="3" t="s">
        <v>66</v>
      </c>
      <c r="EG4" s="3" t="s">
        <v>66</v>
      </c>
      <c r="EH4" s="3" t="s">
        <v>66</v>
      </c>
      <c r="EI4" s="3" t="s">
        <v>66</v>
      </c>
      <c r="EJ4" s="3" t="s">
        <v>66</v>
      </c>
      <c r="EK4" s="3" t="s">
        <v>66</v>
      </c>
      <c r="EL4" s="3" t="s">
        <v>66</v>
      </c>
      <c r="EM4" s="3" t="s">
        <v>66</v>
      </c>
      <c r="EN4" s="3" t="s">
        <v>66</v>
      </c>
      <c r="EO4" s="3" t="s">
        <v>66</v>
      </c>
      <c r="EP4" s="3" t="s">
        <v>66</v>
      </c>
      <c r="EQ4" s="3" t="s">
        <v>66</v>
      </c>
      <c r="ER4" s="3" t="s">
        <v>66</v>
      </c>
      <c r="ES4" s="3" t="s">
        <v>66</v>
      </c>
      <c r="ET4" s="3" t="s">
        <v>66</v>
      </c>
      <c r="EU4" s="3" t="s">
        <v>66</v>
      </c>
      <c r="EV4" s="3" t="s">
        <v>66</v>
      </c>
      <c r="EW4" s="3" t="s">
        <v>66</v>
      </c>
      <c r="EX4" s="3" t="s">
        <v>66</v>
      </c>
      <c r="EY4" s="3" t="s">
        <v>66</v>
      </c>
      <c r="EZ4" s="3" t="s">
        <v>66</v>
      </c>
      <c r="FA4" s="3" t="s">
        <v>66</v>
      </c>
      <c r="FB4" s="3" t="s">
        <v>66</v>
      </c>
      <c r="FC4" s="3" t="s">
        <v>66</v>
      </c>
      <c r="FD4" s="3" t="s">
        <v>66</v>
      </c>
      <c r="FE4" s="3" t="s">
        <v>66</v>
      </c>
      <c r="FF4" s="3" t="s">
        <v>66</v>
      </c>
      <c r="FG4" s="3" t="s">
        <v>66</v>
      </c>
      <c r="FH4" s="3" t="s">
        <v>66</v>
      </c>
      <c r="FI4" s="3" t="s">
        <v>66</v>
      </c>
      <c r="FJ4" s="3" t="s">
        <v>66</v>
      </c>
      <c r="FK4" s="3" t="s">
        <v>66</v>
      </c>
      <c r="FL4" s="3" t="s">
        <v>66</v>
      </c>
      <c r="FM4" s="3" t="s">
        <v>66</v>
      </c>
      <c r="FN4" s="3" t="s">
        <v>66</v>
      </c>
      <c r="FO4" s="3" t="s">
        <v>66</v>
      </c>
      <c r="FP4" s="3" t="s">
        <v>66</v>
      </c>
      <c r="FQ4" s="3" t="s">
        <v>66</v>
      </c>
      <c r="FR4" s="3" t="s">
        <v>66</v>
      </c>
      <c r="FS4" s="3" t="s">
        <v>66</v>
      </c>
      <c r="FT4" s="3" t="s">
        <v>66</v>
      </c>
      <c r="FU4" s="3" t="s">
        <v>66</v>
      </c>
      <c r="FV4" s="3" t="s">
        <v>66</v>
      </c>
      <c r="FW4" s="3" t="s">
        <v>66</v>
      </c>
      <c r="FX4" s="3" t="s">
        <v>66</v>
      </c>
      <c r="FY4" s="3" t="s">
        <v>66</v>
      </c>
      <c r="FZ4" s="3" t="s">
        <v>66</v>
      </c>
      <c r="GA4" s="3" t="s">
        <v>66</v>
      </c>
      <c r="GB4" s="3" t="s">
        <v>66</v>
      </c>
      <c r="GC4" s="3" t="s">
        <v>66</v>
      </c>
      <c r="GD4" s="3" t="s">
        <v>66</v>
      </c>
      <c r="GE4" s="3" t="s">
        <v>66</v>
      </c>
      <c r="GF4" s="3" t="s">
        <v>66</v>
      </c>
      <c r="GG4" s="3" t="s">
        <v>66</v>
      </c>
      <c r="GH4" s="3" t="s">
        <v>66</v>
      </c>
      <c r="GI4" s="3" t="s">
        <v>66</v>
      </c>
      <c r="GJ4" s="3" t="s">
        <v>66</v>
      </c>
      <c r="GK4" s="3" t="s">
        <v>66</v>
      </c>
      <c r="GL4" s="3" t="s">
        <v>66</v>
      </c>
      <c r="GM4" s="3" t="s">
        <v>66</v>
      </c>
      <c r="GN4" s="3" t="s">
        <v>66</v>
      </c>
      <c r="GO4" s="3" t="s">
        <v>66</v>
      </c>
      <c r="GP4" s="3" t="s">
        <v>66</v>
      </c>
      <c r="GQ4" s="3" t="s">
        <v>66</v>
      </c>
      <c r="GR4" s="3" t="s">
        <v>66</v>
      </c>
      <c r="GS4" s="3" t="s">
        <v>66</v>
      </c>
      <c r="GT4" s="3" t="s">
        <v>66</v>
      </c>
      <c r="GU4" s="3" t="s">
        <v>66</v>
      </c>
      <c r="GV4" s="3" t="s">
        <v>66</v>
      </c>
      <c r="GW4" s="3" t="s">
        <v>66</v>
      </c>
      <c r="GX4" s="3" t="s">
        <v>66</v>
      </c>
      <c r="GY4" s="3" t="s">
        <v>66</v>
      </c>
      <c r="GZ4" s="3" t="s">
        <v>66</v>
      </c>
      <c r="HA4" s="3" t="s">
        <v>66</v>
      </c>
      <c r="HB4" s="3" t="s">
        <v>66</v>
      </c>
      <c r="HC4" s="3" t="s">
        <v>66</v>
      </c>
      <c r="HD4" s="3" t="s">
        <v>66</v>
      </c>
      <c r="HE4" s="3" t="s">
        <v>66</v>
      </c>
      <c r="HF4" s="3" t="s">
        <v>66</v>
      </c>
      <c r="HG4" s="3" t="s">
        <v>66</v>
      </c>
      <c r="HH4" s="3" t="s">
        <v>66</v>
      </c>
      <c r="HI4" s="3" t="s">
        <v>66</v>
      </c>
      <c r="HJ4" s="3" t="s">
        <v>66</v>
      </c>
      <c r="HK4" s="3" t="s">
        <v>66</v>
      </c>
      <c r="HL4" s="3" t="s">
        <v>66</v>
      </c>
      <c r="HM4" s="3" t="s">
        <v>66</v>
      </c>
      <c r="HN4" s="3" t="s">
        <v>66</v>
      </c>
      <c r="HO4" s="3" t="s">
        <v>66</v>
      </c>
      <c r="HP4" s="3" t="s">
        <v>66</v>
      </c>
      <c r="HQ4" s="3" t="s">
        <v>66</v>
      </c>
      <c r="HR4" s="3" t="s">
        <v>66</v>
      </c>
      <c r="HS4" s="3" t="s">
        <v>66</v>
      </c>
      <c r="HT4" s="3" t="s">
        <v>66</v>
      </c>
      <c r="HU4" s="3" t="s">
        <v>66</v>
      </c>
      <c r="HV4" s="3" t="s">
        <v>66</v>
      </c>
      <c r="HW4" s="3" t="s">
        <v>66</v>
      </c>
      <c r="HX4" s="3" t="s">
        <v>66</v>
      </c>
      <c r="HY4" s="3" t="s">
        <v>66</v>
      </c>
      <c r="HZ4" s="3" t="s">
        <v>66</v>
      </c>
      <c r="IA4" s="3" t="s">
        <v>66</v>
      </c>
      <c r="IB4" s="3" t="s">
        <v>66</v>
      </c>
      <c r="IC4" s="3" t="s">
        <v>66</v>
      </c>
      <c r="ID4" s="3" t="s">
        <v>66</v>
      </c>
      <c r="IE4" s="3" t="s">
        <v>66</v>
      </c>
      <c r="IF4" s="3" t="s">
        <v>66</v>
      </c>
      <c r="IG4" s="3" t="s">
        <v>66</v>
      </c>
      <c r="IH4" s="3" t="s">
        <v>66</v>
      </c>
      <c r="II4" s="3" t="s">
        <v>66</v>
      </c>
      <c r="IJ4" s="3" t="s">
        <v>66</v>
      </c>
      <c r="IK4" s="3" t="s">
        <v>66</v>
      </c>
      <c r="IL4" s="3" t="s">
        <v>66</v>
      </c>
      <c r="IM4" s="3" t="s">
        <v>66</v>
      </c>
      <c r="IN4" s="3" t="s">
        <v>66</v>
      </c>
      <c r="IO4" s="3" t="s">
        <v>66</v>
      </c>
      <c r="IP4" s="3" t="s">
        <v>66</v>
      </c>
      <c r="IQ4" s="3" t="s">
        <v>66</v>
      </c>
      <c r="IR4" s="3" t="s">
        <v>66</v>
      </c>
      <c r="IS4" s="3" t="s">
        <v>66</v>
      </c>
      <c r="IT4" s="3" t="s">
        <v>66</v>
      </c>
      <c r="IU4" s="3" t="s">
        <v>66</v>
      </c>
      <c r="IV4" s="3" t="s">
        <v>66</v>
      </c>
      <c r="IW4" s="3" t="s">
        <v>66</v>
      </c>
      <c r="IX4" s="3" t="s">
        <v>66</v>
      </c>
      <c r="IY4" s="3" t="s">
        <v>66</v>
      </c>
      <c r="IZ4" s="3" t="s">
        <v>66</v>
      </c>
      <c r="JA4" s="3" t="s">
        <v>66</v>
      </c>
      <c r="JB4" s="3" t="s">
        <v>66</v>
      </c>
      <c r="JC4" s="3" t="s">
        <v>66</v>
      </c>
      <c r="JD4" s="3" t="s">
        <v>66</v>
      </c>
      <c r="JE4" s="3" t="s">
        <v>66</v>
      </c>
      <c r="JF4" s="3" t="s">
        <v>66</v>
      </c>
      <c r="JG4" s="3" t="s">
        <v>66</v>
      </c>
      <c r="JH4" s="3" t="s">
        <v>66</v>
      </c>
      <c r="JI4" s="3" t="s">
        <v>66</v>
      </c>
      <c r="JJ4" s="3" t="s">
        <v>66</v>
      </c>
      <c r="JK4" s="3" t="s">
        <v>66</v>
      </c>
      <c r="JL4" s="3" t="s">
        <v>66</v>
      </c>
      <c r="JM4" s="3" t="s">
        <v>66</v>
      </c>
      <c r="JN4" s="3" t="s">
        <v>66</v>
      </c>
      <c r="JO4" s="3" t="s">
        <v>66</v>
      </c>
      <c r="JP4" s="3" t="s">
        <v>66</v>
      </c>
      <c r="JQ4" s="3" t="s">
        <v>66</v>
      </c>
      <c r="JR4" s="3" t="s">
        <v>66</v>
      </c>
      <c r="JS4" s="3" t="s">
        <v>66</v>
      </c>
      <c r="JT4" s="3" t="s">
        <v>66</v>
      </c>
      <c r="JU4" s="3" t="s">
        <v>66</v>
      </c>
      <c r="JV4" s="3" t="s">
        <v>66</v>
      </c>
      <c r="JW4" s="3" t="s">
        <v>66</v>
      </c>
      <c r="JX4" s="3" t="s">
        <v>66</v>
      </c>
      <c r="JY4" s="3" t="s">
        <v>66</v>
      </c>
      <c r="JZ4" s="3" t="s">
        <v>66</v>
      </c>
      <c r="KA4" s="3" t="s">
        <v>66</v>
      </c>
      <c r="KB4" s="3" t="s">
        <v>66</v>
      </c>
      <c r="KC4" s="3" t="s">
        <v>66</v>
      </c>
      <c r="KD4" s="3" t="s">
        <v>66</v>
      </c>
      <c r="KE4" s="3" t="s">
        <v>66</v>
      </c>
      <c r="KF4" s="3" t="s">
        <v>66</v>
      </c>
      <c r="KG4" s="3" t="s">
        <v>66</v>
      </c>
      <c r="KH4" s="3" t="s">
        <v>66</v>
      </c>
      <c r="KI4" s="3" t="s">
        <v>66</v>
      </c>
      <c r="KJ4" s="3" t="s">
        <v>66</v>
      </c>
      <c r="KK4" s="3" t="s">
        <v>66</v>
      </c>
      <c r="KL4" s="3" t="s">
        <v>66</v>
      </c>
      <c r="KM4" s="3" t="s">
        <v>66</v>
      </c>
      <c r="KN4" s="3" t="s">
        <v>66</v>
      </c>
      <c r="KO4" s="3" t="s">
        <v>66</v>
      </c>
      <c r="KP4" s="3" t="s">
        <v>66</v>
      </c>
      <c r="KQ4" s="3" t="s">
        <v>66</v>
      </c>
      <c r="KR4" s="3" t="s">
        <v>66</v>
      </c>
      <c r="KS4" s="3" t="s">
        <v>66</v>
      </c>
      <c r="KT4" s="3" t="s">
        <v>66</v>
      </c>
      <c r="KU4" s="3" t="s">
        <v>66</v>
      </c>
      <c r="KV4" s="3" t="s">
        <v>66</v>
      </c>
      <c r="KW4" s="3" t="s">
        <v>66</v>
      </c>
      <c r="KX4" s="3" t="s">
        <v>66</v>
      </c>
      <c r="KY4" s="3" t="s">
        <v>66</v>
      </c>
      <c r="KZ4" s="3" t="s">
        <v>66</v>
      </c>
      <c r="LA4" s="3" t="s">
        <v>66</v>
      </c>
      <c r="LB4" s="3" t="s">
        <v>66</v>
      </c>
      <c r="LC4" s="3" t="s">
        <v>66</v>
      </c>
      <c r="LD4" s="3" t="s">
        <v>66</v>
      </c>
      <c r="LE4" s="3" t="s">
        <v>66</v>
      </c>
      <c r="LF4" s="3" t="s">
        <v>66</v>
      </c>
      <c r="LG4" s="3" t="s">
        <v>66</v>
      </c>
      <c r="LH4" s="3" t="s">
        <v>66</v>
      </c>
      <c r="LI4" s="3" t="s">
        <v>66</v>
      </c>
      <c r="LJ4" s="3" t="s">
        <v>66</v>
      </c>
      <c r="LK4" s="3" t="s">
        <v>66</v>
      </c>
      <c r="LL4" s="3" t="s">
        <v>66</v>
      </c>
      <c r="LM4" s="3" t="s">
        <v>66</v>
      </c>
      <c r="LN4" s="3" t="s">
        <v>66</v>
      </c>
      <c r="LO4" s="3" t="s">
        <v>66</v>
      </c>
      <c r="LP4" s="3" t="s">
        <v>66</v>
      </c>
      <c r="LQ4" s="3" t="s">
        <v>66</v>
      </c>
      <c r="LR4" s="3" t="s">
        <v>66</v>
      </c>
      <c r="LS4" s="3" t="s">
        <v>66</v>
      </c>
      <c r="LT4" s="3" t="s">
        <v>66</v>
      </c>
      <c r="LU4" s="3" t="s">
        <v>66</v>
      </c>
      <c r="LV4" s="3" t="s">
        <v>66</v>
      </c>
      <c r="LW4" s="3" t="s">
        <v>66</v>
      </c>
      <c r="LX4" s="3" t="s">
        <v>66</v>
      </c>
      <c r="LY4" s="3" t="s">
        <v>66</v>
      </c>
      <c r="LZ4" s="3" t="s">
        <v>66</v>
      </c>
      <c r="MA4" s="3" t="s">
        <v>66</v>
      </c>
      <c r="MB4" s="3" t="s">
        <v>66</v>
      </c>
      <c r="MC4" s="3" t="s">
        <v>66</v>
      </c>
      <c r="MD4" s="3" t="s">
        <v>66</v>
      </c>
      <c r="ME4" s="3" t="s">
        <v>66</v>
      </c>
      <c r="MF4" s="3" t="s">
        <v>66</v>
      </c>
      <c r="MG4" s="3" t="s">
        <v>66</v>
      </c>
      <c r="MH4" s="3" t="s">
        <v>66</v>
      </c>
      <c r="MI4" s="3" t="s">
        <v>66</v>
      </c>
      <c r="MJ4" s="3" t="s">
        <v>66</v>
      </c>
      <c r="MK4" s="3" t="s">
        <v>66</v>
      </c>
      <c r="ML4" s="3" t="s">
        <v>66</v>
      </c>
      <c r="MM4" s="3" t="s">
        <v>66</v>
      </c>
      <c r="MN4" s="3" t="s">
        <v>66</v>
      </c>
      <c r="MO4" s="3" t="s">
        <v>66</v>
      </c>
      <c r="MP4" s="3" t="s">
        <v>66</v>
      </c>
      <c r="MQ4" s="3" t="s">
        <v>66</v>
      </c>
      <c r="MR4" s="3" t="s">
        <v>66</v>
      </c>
      <c r="MS4" s="3" t="s">
        <v>66</v>
      </c>
      <c r="MT4" s="3" t="s">
        <v>66</v>
      </c>
      <c r="MU4" s="3" t="s">
        <v>66</v>
      </c>
      <c r="MV4" s="3" t="s">
        <v>66</v>
      </c>
      <c r="MW4" s="3" t="s">
        <v>66</v>
      </c>
      <c r="MX4" s="3" t="s">
        <v>66</v>
      </c>
      <c r="MY4" s="3" t="s">
        <v>66</v>
      </c>
      <c r="MZ4" s="3" t="s">
        <v>66</v>
      </c>
      <c r="NA4" s="3" t="s">
        <v>66</v>
      </c>
      <c r="NB4" s="3" t="s">
        <v>66</v>
      </c>
      <c r="NC4" s="3" t="s">
        <v>66</v>
      </c>
      <c r="ND4" s="3" t="s">
        <v>66</v>
      </c>
      <c r="NE4" s="3" t="s">
        <v>66</v>
      </c>
      <c r="NF4" s="3" t="s">
        <v>66</v>
      </c>
      <c r="NG4" s="3">
        <f t="shared" si="1"/>
        <v>363</v>
      </c>
      <c r="NH4" s="3">
        <f t="shared" si="2"/>
        <v>1</v>
      </c>
      <c r="NI4" s="3">
        <f t="shared" si="3"/>
        <v>1</v>
      </c>
    </row>
    <row r="5">
      <c r="A5" s="3" t="str">
        <f>'0_Key'!A4</f>
        <v>High</v>
      </c>
      <c r="B5" s="3" t="str">
        <f>'0_Key'!B4</f>
        <v>Corporate</v>
      </c>
      <c r="C5" s="3" t="str">
        <f>'0_Key'!D4</f>
        <v>Daily</v>
      </c>
      <c r="D5" s="3" t="str">
        <f>'0_Key'!E4</f>
        <v>Daily</v>
      </c>
      <c r="E5" s="3" t="str">
        <f>'0_Key'!C4</f>
        <v>Project Health</v>
      </c>
      <c r="F5" s="3" t="s">
        <v>67</v>
      </c>
      <c r="G5" s="3" t="s">
        <v>66</v>
      </c>
      <c r="H5" s="3" t="s">
        <v>66</v>
      </c>
      <c r="I5" s="3" t="s">
        <v>66</v>
      </c>
      <c r="J5" s="3" t="s">
        <v>66</v>
      </c>
      <c r="K5" s="3" t="s">
        <v>66</v>
      </c>
      <c r="L5" s="3" t="s">
        <v>66</v>
      </c>
      <c r="M5" s="3" t="s">
        <v>66</v>
      </c>
      <c r="N5" s="3" t="s">
        <v>66</v>
      </c>
      <c r="O5" s="3" t="s">
        <v>66</v>
      </c>
      <c r="P5" s="3" t="s">
        <v>66</v>
      </c>
      <c r="Q5" s="3" t="s">
        <v>66</v>
      </c>
      <c r="R5" s="3" t="s">
        <v>66</v>
      </c>
      <c r="S5" s="3" t="s">
        <v>66</v>
      </c>
      <c r="T5" s="3" t="s">
        <v>66</v>
      </c>
      <c r="U5" s="3" t="s">
        <v>66</v>
      </c>
      <c r="V5" s="3" t="s">
        <v>66</v>
      </c>
      <c r="W5" s="3" t="s">
        <v>66</v>
      </c>
      <c r="X5" s="3" t="s">
        <v>66</v>
      </c>
      <c r="Y5" s="3" t="s">
        <v>66</v>
      </c>
      <c r="Z5" s="3" t="s">
        <v>66</v>
      </c>
      <c r="AA5" s="3" t="s">
        <v>66</v>
      </c>
      <c r="AB5" s="3" t="s">
        <v>66</v>
      </c>
      <c r="AC5" s="3" t="s">
        <v>66</v>
      </c>
      <c r="AD5" s="3" t="s">
        <v>66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66</v>
      </c>
      <c r="AS5" s="3" t="s">
        <v>66</v>
      </c>
      <c r="AT5" s="3" t="s">
        <v>66</v>
      </c>
      <c r="AU5" s="3" t="s">
        <v>66</v>
      </c>
      <c r="AV5" s="3" t="s">
        <v>66</v>
      </c>
      <c r="AW5" s="3" t="s">
        <v>66</v>
      </c>
      <c r="AX5" s="3" t="s">
        <v>66</v>
      </c>
      <c r="AY5" s="3" t="s">
        <v>66</v>
      </c>
      <c r="AZ5" s="3" t="s">
        <v>66</v>
      </c>
      <c r="BA5" s="3" t="s">
        <v>66</v>
      </c>
      <c r="BB5" s="3" t="s">
        <v>66</v>
      </c>
      <c r="BC5" s="3" t="s">
        <v>66</v>
      </c>
      <c r="BD5" s="3" t="s">
        <v>66</v>
      </c>
      <c r="BE5" s="3" t="s">
        <v>66</v>
      </c>
      <c r="BF5" s="3" t="s">
        <v>66</v>
      </c>
      <c r="BG5" s="3" t="s">
        <v>66</v>
      </c>
      <c r="BH5" s="3" t="s">
        <v>66</v>
      </c>
      <c r="BI5" s="3" t="s">
        <v>66</v>
      </c>
      <c r="BJ5" s="3" t="s">
        <v>66</v>
      </c>
      <c r="BK5" s="3" t="s">
        <v>66</v>
      </c>
      <c r="BL5" s="3" t="s">
        <v>66</v>
      </c>
      <c r="BM5" s="3" t="s">
        <v>66</v>
      </c>
      <c r="BN5" s="3" t="s">
        <v>66</v>
      </c>
      <c r="BO5" s="3" t="s">
        <v>66</v>
      </c>
      <c r="BP5" s="3" t="s">
        <v>66</v>
      </c>
      <c r="BQ5" s="3" t="s">
        <v>66</v>
      </c>
      <c r="BR5" s="3" t="s">
        <v>66</v>
      </c>
      <c r="BS5" s="3" t="s">
        <v>66</v>
      </c>
      <c r="BT5" s="3" t="s">
        <v>66</v>
      </c>
      <c r="BU5" s="3" t="s">
        <v>66</v>
      </c>
      <c r="BV5" s="3" t="s">
        <v>66</v>
      </c>
      <c r="BW5" s="3" t="s">
        <v>66</v>
      </c>
      <c r="BX5" s="3" t="s">
        <v>66</v>
      </c>
      <c r="BY5" s="3" t="s">
        <v>66</v>
      </c>
      <c r="BZ5" s="3" t="s">
        <v>66</v>
      </c>
      <c r="CA5" s="3" t="s">
        <v>66</v>
      </c>
      <c r="CB5" s="3" t="s">
        <v>66</v>
      </c>
      <c r="CC5" s="3" t="s">
        <v>66</v>
      </c>
      <c r="CD5" s="3" t="s">
        <v>66</v>
      </c>
      <c r="CE5" s="3" t="s">
        <v>66</v>
      </c>
      <c r="CF5" s="3" t="s">
        <v>66</v>
      </c>
      <c r="CG5" s="3" t="s">
        <v>66</v>
      </c>
      <c r="CH5" s="3" t="s">
        <v>66</v>
      </c>
      <c r="CI5" s="3" t="s">
        <v>66</v>
      </c>
      <c r="CJ5" s="3" t="s">
        <v>66</v>
      </c>
      <c r="CK5" s="3" t="s">
        <v>66</v>
      </c>
      <c r="CL5" s="3" t="s">
        <v>66</v>
      </c>
      <c r="CM5" s="3" t="s">
        <v>66</v>
      </c>
      <c r="CN5" s="3" t="s">
        <v>66</v>
      </c>
      <c r="CO5" s="3" t="s">
        <v>66</v>
      </c>
      <c r="CP5" s="3" t="s">
        <v>66</v>
      </c>
      <c r="CQ5" s="3" t="s">
        <v>66</v>
      </c>
      <c r="CR5" s="3" t="s">
        <v>66</v>
      </c>
      <c r="CS5" s="3" t="s">
        <v>66</v>
      </c>
      <c r="CT5" s="3" t="s">
        <v>66</v>
      </c>
      <c r="CU5" s="3" t="s">
        <v>66</v>
      </c>
      <c r="CV5" s="3" t="s">
        <v>66</v>
      </c>
      <c r="CW5" s="3" t="s">
        <v>66</v>
      </c>
      <c r="CX5" s="3" t="s">
        <v>66</v>
      </c>
      <c r="CY5" s="3" t="s">
        <v>66</v>
      </c>
      <c r="CZ5" s="3" t="s">
        <v>66</v>
      </c>
      <c r="DA5" s="3" t="s">
        <v>66</v>
      </c>
      <c r="DB5" s="3" t="s">
        <v>66</v>
      </c>
      <c r="DC5" s="3" t="s">
        <v>66</v>
      </c>
      <c r="DD5" s="3" t="s">
        <v>66</v>
      </c>
      <c r="DE5" s="3" t="s">
        <v>66</v>
      </c>
      <c r="DF5" s="3" t="s">
        <v>66</v>
      </c>
      <c r="DG5" s="3" t="s">
        <v>66</v>
      </c>
      <c r="DH5" s="3" t="s">
        <v>66</v>
      </c>
      <c r="DI5" s="3" t="s">
        <v>66</v>
      </c>
      <c r="DJ5" s="3" t="s">
        <v>66</v>
      </c>
      <c r="DK5" s="3" t="s">
        <v>66</v>
      </c>
      <c r="DL5" s="3" t="s">
        <v>66</v>
      </c>
      <c r="DM5" s="3" t="s">
        <v>66</v>
      </c>
      <c r="DN5" s="3" t="s">
        <v>66</v>
      </c>
      <c r="DO5" s="3" t="s">
        <v>66</v>
      </c>
      <c r="DP5" s="3" t="s">
        <v>66</v>
      </c>
      <c r="DQ5" s="3" t="s">
        <v>66</v>
      </c>
      <c r="DR5" s="3" t="s">
        <v>66</v>
      </c>
      <c r="DS5" s="3" t="s">
        <v>66</v>
      </c>
      <c r="DT5" s="3" t="s">
        <v>66</v>
      </c>
      <c r="DU5" s="3" t="s">
        <v>66</v>
      </c>
      <c r="DV5" s="3" t="s">
        <v>66</v>
      </c>
      <c r="DW5" s="3" t="s">
        <v>66</v>
      </c>
      <c r="DX5" s="3" t="s">
        <v>66</v>
      </c>
      <c r="DY5" s="3" t="s">
        <v>66</v>
      </c>
      <c r="DZ5" s="3" t="s">
        <v>66</v>
      </c>
      <c r="EA5" s="3" t="s">
        <v>66</v>
      </c>
      <c r="EB5" s="3" t="s">
        <v>66</v>
      </c>
      <c r="EC5" s="3" t="s">
        <v>66</v>
      </c>
      <c r="ED5" s="3" t="s">
        <v>66</v>
      </c>
      <c r="EE5" s="3" t="s">
        <v>66</v>
      </c>
      <c r="EF5" s="3" t="s">
        <v>66</v>
      </c>
      <c r="EG5" s="3" t="s">
        <v>66</v>
      </c>
      <c r="EH5" s="3" t="s">
        <v>66</v>
      </c>
      <c r="EI5" s="3" t="s">
        <v>66</v>
      </c>
      <c r="EJ5" s="3" t="s">
        <v>66</v>
      </c>
      <c r="EK5" s="3" t="s">
        <v>66</v>
      </c>
      <c r="EL5" s="3" t="s">
        <v>66</v>
      </c>
      <c r="EM5" s="3" t="s">
        <v>66</v>
      </c>
      <c r="EN5" s="3" t="s">
        <v>66</v>
      </c>
      <c r="EO5" s="3" t="s">
        <v>66</v>
      </c>
      <c r="EP5" s="3" t="s">
        <v>66</v>
      </c>
      <c r="EQ5" s="3" t="s">
        <v>66</v>
      </c>
      <c r="ER5" s="3" t="s">
        <v>66</v>
      </c>
      <c r="ES5" s="3" t="s">
        <v>66</v>
      </c>
      <c r="ET5" s="3" t="s">
        <v>66</v>
      </c>
      <c r="EU5" s="3" t="s">
        <v>66</v>
      </c>
      <c r="EV5" s="3" t="s">
        <v>66</v>
      </c>
      <c r="EW5" s="3" t="s">
        <v>66</v>
      </c>
      <c r="EX5" s="3" t="s">
        <v>66</v>
      </c>
      <c r="EY5" s="3" t="s">
        <v>66</v>
      </c>
      <c r="EZ5" s="3" t="s">
        <v>66</v>
      </c>
      <c r="FA5" s="3" t="s">
        <v>66</v>
      </c>
      <c r="FB5" s="3" t="s">
        <v>66</v>
      </c>
      <c r="FC5" s="3" t="s">
        <v>66</v>
      </c>
      <c r="FD5" s="3" t="s">
        <v>66</v>
      </c>
      <c r="FE5" s="3" t="s">
        <v>66</v>
      </c>
      <c r="FF5" s="3" t="s">
        <v>66</v>
      </c>
      <c r="FG5" s="3" t="s">
        <v>66</v>
      </c>
      <c r="FH5" s="3" t="s">
        <v>66</v>
      </c>
      <c r="FI5" s="3" t="s">
        <v>66</v>
      </c>
      <c r="FJ5" s="3" t="s">
        <v>66</v>
      </c>
      <c r="FK5" s="3" t="s">
        <v>66</v>
      </c>
      <c r="FL5" s="3" t="s">
        <v>66</v>
      </c>
      <c r="FM5" s="3" t="s">
        <v>66</v>
      </c>
      <c r="FN5" s="3" t="s">
        <v>66</v>
      </c>
      <c r="FO5" s="3" t="s">
        <v>66</v>
      </c>
      <c r="FP5" s="3" t="s">
        <v>66</v>
      </c>
      <c r="FQ5" s="3" t="s">
        <v>66</v>
      </c>
      <c r="FR5" s="3" t="s">
        <v>66</v>
      </c>
      <c r="FS5" s="3" t="s">
        <v>66</v>
      </c>
      <c r="FT5" s="3" t="s">
        <v>66</v>
      </c>
      <c r="FU5" s="3" t="s">
        <v>66</v>
      </c>
      <c r="FV5" s="3" t="s">
        <v>66</v>
      </c>
      <c r="FW5" s="3" t="s">
        <v>66</v>
      </c>
      <c r="FX5" s="3" t="s">
        <v>66</v>
      </c>
      <c r="FY5" s="3" t="s">
        <v>66</v>
      </c>
      <c r="FZ5" s="3" t="s">
        <v>66</v>
      </c>
      <c r="GA5" s="3" t="s">
        <v>66</v>
      </c>
      <c r="GB5" s="3" t="s">
        <v>66</v>
      </c>
      <c r="GC5" s="3" t="s">
        <v>66</v>
      </c>
      <c r="GD5" s="3" t="s">
        <v>66</v>
      </c>
      <c r="GE5" s="3" t="s">
        <v>66</v>
      </c>
      <c r="GF5" s="3" t="s">
        <v>66</v>
      </c>
      <c r="GG5" s="3" t="s">
        <v>66</v>
      </c>
      <c r="GH5" s="3" t="s">
        <v>66</v>
      </c>
      <c r="GI5" s="3" t="s">
        <v>66</v>
      </c>
      <c r="GJ5" s="3" t="s">
        <v>66</v>
      </c>
      <c r="GK5" s="3" t="s">
        <v>66</v>
      </c>
      <c r="GL5" s="3" t="s">
        <v>66</v>
      </c>
      <c r="GM5" s="3" t="s">
        <v>66</v>
      </c>
      <c r="GN5" s="3" t="s">
        <v>66</v>
      </c>
      <c r="GO5" s="3" t="s">
        <v>66</v>
      </c>
      <c r="GP5" s="3" t="s">
        <v>66</v>
      </c>
      <c r="GQ5" s="3" t="s">
        <v>66</v>
      </c>
      <c r="GR5" s="3" t="s">
        <v>66</v>
      </c>
      <c r="GS5" s="3" t="s">
        <v>66</v>
      </c>
      <c r="GT5" s="3" t="s">
        <v>66</v>
      </c>
      <c r="GU5" s="3" t="s">
        <v>66</v>
      </c>
      <c r="GV5" s="3" t="s">
        <v>66</v>
      </c>
      <c r="GW5" s="3" t="s">
        <v>66</v>
      </c>
      <c r="GX5" s="3" t="s">
        <v>66</v>
      </c>
      <c r="GY5" s="3" t="s">
        <v>66</v>
      </c>
      <c r="GZ5" s="3" t="s">
        <v>66</v>
      </c>
      <c r="HA5" s="3" t="s">
        <v>66</v>
      </c>
      <c r="HB5" s="3" t="s">
        <v>66</v>
      </c>
      <c r="HC5" s="3" t="s">
        <v>66</v>
      </c>
      <c r="HD5" s="3" t="s">
        <v>66</v>
      </c>
      <c r="HE5" s="3" t="s">
        <v>66</v>
      </c>
      <c r="HF5" s="3" t="s">
        <v>66</v>
      </c>
      <c r="HG5" s="3" t="s">
        <v>66</v>
      </c>
      <c r="HH5" s="3" t="s">
        <v>66</v>
      </c>
      <c r="HI5" s="3" t="s">
        <v>66</v>
      </c>
      <c r="HJ5" s="3" t="s">
        <v>66</v>
      </c>
      <c r="HK5" s="3" t="s">
        <v>66</v>
      </c>
      <c r="HL5" s="3" t="s">
        <v>66</v>
      </c>
      <c r="HM5" s="3" t="s">
        <v>66</v>
      </c>
      <c r="HN5" s="3" t="s">
        <v>66</v>
      </c>
      <c r="HO5" s="3" t="s">
        <v>66</v>
      </c>
      <c r="HP5" s="3" t="s">
        <v>66</v>
      </c>
      <c r="HQ5" s="3" t="s">
        <v>66</v>
      </c>
      <c r="HR5" s="3" t="s">
        <v>66</v>
      </c>
      <c r="HS5" s="3" t="s">
        <v>66</v>
      </c>
      <c r="HT5" s="3" t="s">
        <v>66</v>
      </c>
      <c r="HU5" s="3" t="s">
        <v>66</v>
      </c>
      <c r="HV5" s="3" t="s">
        <v>66</v>
      </c>
      <c r="HW5" s="3" t="s">
        <v>66</v>
      </c>
      <c r="HX5" s="3" t="s">
        <v>66</v>
      </c>
      <c r="HY5" s="3" t="s">
        <v>66</v>
      </c>
      <c r="HZ5" s="3" t="s">
        <v>66</v>
      </c>
      <c r="IA5" s="3" t="s">
        <v>66</v>
      </c>
      <c r="IB5" s="3" t="s">
        <v>66</v>
      </c>
      <c r="IC5" s="3" t="s">
        <v>66</v>
      </c>
      <c r="ID5" s="3" t="s">
        <v>66</v>
      </c>
      <c r="IE5" s="3" t="s">
        <v>66</v>
      </c>
      <c r="IF5" s="3" t="s">
        <v>66</v>
      </c>
      <c r="IG5" s="3" t="s">
        <v>66</v>
      </c>
      <c r="IH5" s="3" t="s">
        <v>66</v>
      </c>
      <c r="II5" s="3" t="s">
        <v>66</v>
      </c>
      <c r="IJ5" s="3" t="s">
        <v>66</v>
      </c>
      <c r="IK5" s="3" t="s">
        <v>66</v>
      </c>
      <c r="IL5" s="3" t="s">
        <v>66</v>
      </c>
      <c r="IM5" s="3" t="s">
        <v>66</v>
      </c>
      <c r="IN5" s="3" t="s">
        <v>66</v>
      </c>
      <c r="IO5" s="3" t="s">
        <v>66</v>
      </c>
      <c r="IP5" s="3" t="s">
        <v>66</v>
      </c>
      <c r="IQ5" s="3" t="s">
        <v>66</v>
      </c>
      <c r="IR5" s="3" t="s">
        <v>66</v>
      </c>
      <c r="IS5" s="3" t="s">
        <v>66</v>
      </c>
      <c r="IT5" s="3" t="s">
        <v>66</v>
      </c>
      <c r="IU5" s="3" t="s">
        <v>66</v>
      </c>
      <c r="IV5" s="3" t="s">
        <v>66</v>
      </c>
      <c r="IW5" s="3" t="s">
        <v>66</v>
      </c>
      <c r="IX5" s="3" t="s">
        <v>66</v>
      </c>
      <c r="IY5" s="3" t="s">
        <v>66</v>
      </c>
      <c r="IZ5" s="3" t="s">
        <v>66</v>
      </c>
      <c r="JA5" s="3" t="s">
        <v>66</v>
      </c>
      <c r="JB5" s="3" t="s">
        <v>66</v>
      </c>
      <c r="JC5" s="3" t="s">
        <v>66</v>
      </c>
      <c r="JD5" s="3" t="s">
        <v>66</v>
      </c>
      <c r="JE5" s="3" t="s">
        <v>66</v>
      </c>
      <c r="JF5" s="3" t="s">
        <v>66</v>
      </c>
      <c r="JG5" s="3" t="s">
        <v>66</v>
      </c>
      <c r="JH5" s="3" t="s">
        <v>66</v>
      </c>
      <c r="JI5" s="3" t="s">
        <v>66</v>
      </c>
      <c r="JJ5" s="3" t="s">
        <v>66</v>
      </c>
      <c r="JK5" s="3" t="s">
        <v>66</v>
      </c>
      <c r="JL5" s="3" t="s">
        <v>66</v>
      </c>
      <c r="JM5" s="3" t="s">
        <v>66</v>
      </c>
      <c r="JN5" s="3" t="s">
        <v>66</v>
      </c>
      <c r="JO5" s="3" t="s">
        <v>66</v>
      </c>
      <c r="JP5" s="3" t="s">
        <v>66</v>
      </c>
      <c r="JQ5" s="3" t="s">
        <v>66</v>
      </c>
      <c r="JR5" s="3" t="s">
        <v>66</v>
      </c>
      <c r="JS5" s="3" t="s">
        <v>66</v>
      </c>
      <c r="JT5" s="3" t="s">
        <v>66</v>
      </c>
      <c r="JU5" s="3" t="s">
        <v>66</v>
      </c>
      <c r="JV5" s="3" t="s">
        <v>66</v>
      </c>
      <c r="JW5" s="3" t="s">
        <v>66</v>
      </c>
      <c r="JX5" s="3" t="s">
        <v>66</v>
      </c>
      <c r="JY5" s="3" t="s">
        <v>66</v>
      </c>
      <c r="JZ5" s="3" t="s">
        <v>66</v>
      </c>
      <c r="KA5" s="3" t="s">
        <v>66</v>
      </c>
      <c r="KB5" s="3" t="s">
        <v>66</v>
      </c>
      <c r="KC5" s="3" t="s">
        <v>66</v>
      </c>
      <c r="KD5" s="3" t="s">
        <v>66</v>
      </c>
      <c r="KE5" s="3" t="s">
        <v>66</v>
      </c>
      <c r="KF5" s="3" t="s">
        <v>66</v>
      </c>
      <c r="KG5" s="3" t="s">
        <v>66</v>
      </c>
      <c r="KH5" s="3" t="s">
        <v>66</v>
      </c>
      <c r="KI5" s="3" t="s">
        <v>66</v>
      </c>
      <c r="KJ5" s="3" t="s">
        <v>66</v>
      </c>
      <c r="KK5" s="3" t="s">
        <v>66</v>
      </c>
      <c r="KL5" s="3" t="s">
        <v>66</v>
      </c>
      <c r="KM5" s="3" t="s">
        <v>66</v>
      </c>
      <c r="KN5" s="3" t="s">
        <v>66</v>
      </c>
      <c r="KO5" s="3" t="s">
        <v>66</v>
      </c>
      <c r="KP5" s="3" t="s">
        <v>66</v>
      </c>
      <c r="KQ5" s="3" t="s">
        <v>66</v>
      </c>
      <c r="KR5" s="3" t="s">
        <v>66</v>
      </c>
      <c r="KS5" s="3" t="s">
        <v>66</v>
      </c>
      <c r="KT5" s="3" t="s">
        <v>66</v>
      </c>
      <c r="KU5" s="3" t="s">
        <v>66</v>
      </c>
      <c r="KV5" s="3" t="s">
        <v>66</v>
      </c>
      <c r="KW5" s="3" t="s">
        <v>66</v>
      </c>
      <c r="KX5" s="3" t="s">
        <v>66</v>
      </c>
      <c r="KY5" s="3" t="s">
        <v>66</v>
      </c>
      <c r="KZ5" s="3" t="s">
        <v>66</v>
      </c>
      <c r="LA5" s="3" t="s">
        <v>66</v>
      </c>
      <c r="LB5" s="3" t="s">
        <v>66</v>
      </c>
      <c r="LC5" s="3" t="s">
        <v>66</v>
      </c>
      <c r="LD5" s="3" t="s">
        <v>66</v>
      </c>
      <c r="LE5" s="3" t="s">
        <v>66</v>
      </c>
      <c r="LF5" s="3" t="s">
        <v>66</v>
      </c>
      <c r="LG5" s="3" t="s">
        <v>66</v>
      </c>
      <c r="LH5" s="3" t="s">
        <v>66</v>
      </c>
      <c r="LI5" s="3" t="s">
        <v>66</v>
      </c>
      <c r="LJ5" s="3" t="s">
        <v>66</v>
      </c>
      <c r="LK5" s="3" t="s">
        <v>66</v>
      </c>
      <c r="LL5" s="3" t="s">
        <v>66</v>
      </c>
      <c r="LM5" s="3" t="s">
        <v>66</v>
      </c>
      <c r="LN5" s="3" t="s">
        <v>66</v>
      </c>
      <c r="LO5" s="3" t="s">
        <v>66</v>
      </c>
      <c r="LP5" s="3" t="s">
        <v>66</v>
      </c>
      <c r="LQ5" s="3" t="s">
        <v>66</v>
      </c>
      <c r="LR5" s="3" t="s">
        <v>66</v>
      </c>
      <c r="LS5" s="3" t="s">
        <v>66</v>
      </c>
      <c r="LT5" s="3" t="s">
        <v>66</v>
      </c>
      <c r="LU5" s="3" t="s">
        <v>66</v>
      </c>
      <c r="LV5" s="3" t="s">
        <v>66</v>
      </c>
      <c r="LW5" s="3" t="s">
        <v>66</v>
      </c>
      <c r="LX5" s="3" t="s">
        <v>66</v>
      </c>
      <c r="LY5" s="3" t="s">
        <v>66</v>
      </c>
      <c r="LZ5" s="3" t="s">
        <v>66</v>
      </c>
      <c r="MA5" s="3" t="s">
        <v>66</v>
      </c>
      <c r="MB5" s="3" t="s">
        <v>66</v>
      </c>
      <c r="MC5" s="3" t="s">
        <v>66</v>
      </c>
      <c r="MD5" s="3" t="s">
        <v>66</v>
      </c>
      <c r="ME5" s="3" t="s">
        <v>66</v>
      </c>
      <c r="MF5" s="3" t="s">
        <v>66</v>
      </c>
      <c r="MG5" s="3" t="s">
        <v>66</v>
      </c>
      <c r="MH5" s="3" t="s">
        <v>66</v>
      </c>
      <c r="MI5" s="3" t="s">
        <v>66</v>
      </c>
      <c r="MJ5" s="3" t="s">
        <v>66</v>
      </c>
      <c r="MK5" s="3" t="s">
        <v>66</v>
      </c>
      <c r="ML5" s="3" t="s">
        <v>66</v>
      </c>
      <c r="MM5" s="3" t="s">
        <v>66</v>
      </c>
      <c r="MN5" s="3" t="s">
        <v>66</v>
      </c>
      <c r="MO5" s="3" t="s">
        <v>66</v>
      </c>
      <c r="MP5" s="3" t="s">
        <v>66</v>
      </c>
      <c r="MQ5" s="3" t="s">
        <v>66</v>
      </c>
      <c r="MR5" s="3" t="s">
        <v>66</v>
      </c>
      <c r="MS5" s="3" t="s">
        <v>66</v>
      </c>
      <c r="MT5" s="3" t="s">
        <v>66</v>
      </c>
      <c r="MU5" s="3" t="s">
        <v>66</v>
      </c>
      <c r="MV5" s="3" t="s">
        <v>66</v>
      </c>
      <c r="MW5" s="3" t="s">
        <v>66</v>
      </c>
      <c r="MX5" s="3" t="s">
        <v>66</v>
      </c>
      <c r="MY5" s="3" t="s">
        <v>66</v>
      </c>
      <c r="MZ5" s="3" t="s">
        <v>66</v>
      </c>
      <c r="NA5" s="3" t="s">
        <v>66</v>
      </c>
      <c r="NB5" s="3" t="s">
        <v>66</v>
      </c>
      <c r="NC5" s="3" t="s">
        <v>66</v>
      </c>
      <c r="ND5" s="3" t="s">
        <v>66</v>
      </c>
      <c r="NE5" s="3" t="s">
        <v>66</v>
      </c>
      <c r="NF5" s="3" t="s">
        <v>66</v>
      </c>
      <c r="NG5" s="3">
        <f t="shared" si="1"/>
        <v>364</v>
      </c>
      <c r="NH5" s="3">
        <f t="shared" si="2"/>
        <v>1</v>
      </c>
      <c r="NI5" s="3">
        <f t="shared" si="3"/>
        <v>0</v>
      </c>
    </row>
    <row r="6">
      <c r="A6" s="3" t="str">
        <f>'0_Key'!A5</f>
        <v>Medium</v>
      </c>
      <c r="B6" s="3" t="str">
        <f>'0_Key'!B5</f>
        <v>Mental</v>
      </c>
      <c r="C6" s="3" t="str">
        <f>'0_Key'!D5</f>
        <v>Weekly</v>
      </c>
      <c r="D6" s="3" t="str">
        <f>'0_Key'!E5</f>
        <v>Wed</v>
      </c>
      <c r="E6" s="3" t="str">
        <f>'0_Key'!C5</f>
        <v>Journaling</v>
      </c>
      <c r="F6" s="3" t="s">
        <v>67</v>
      </c>
      <c r="M6" s="3" t="s">
        <v>66</v>
      </c>
      <c r="T6" s="3" t="s">
        <v>66</v>
      </c>
      <c r="AA6" s="3" t="s">
        <v>66</v>
      </c>
      <c r="AH6" s="3" t="s">
        <v>66</v>
      </c>
      <c r="AV6" s="3" t="s">
        <v>66</v>
      </c>
      <c r="BC6" s="3" t="s">
        <v>66</v>
      </c>
      <c r="BJ6" s="3" t="s">
        <v>66</v>
      </c>
      <c r="BQ6" s="3" t="s">
        <v>66</v>
      </c>
      <c r="BX6" s="3" t="s">
        <v>66</v>
      </c>
      <c r="CE6" s="3" t="s">
        <v>66</v>
      </c>
      <c r="CL6" s="3" t="s">
        <v>66</v>
      </c>
      <c r="CS6" s="3" t="s">
        <v>66</v>
      </c>
      <c r="CZ6" s="3" t="s">
        <v>66</v>
      </c>
      <c r="DG6" s="3" t="s">
        <v>66</v>
      </c>
      <c r="DN6" s="3" t="s">
        <v>66</v>
      </c>
      <c r="DU6" s="3" t="s">
        <v>66</v>
      </c>
      <c r="EB6" s="3" t="s">
        <v>66</v>
      </c>
      <c r="EI6" s="3" t="s">
        <v>66</v>
      </c>
      <c r="EP6" s="3" t="s">
        <v>66</v>
      </c>
      <c r="EW6" s="3" t="s">
        <v>66</v>
      </c>
      <c r="FD6" s="3" t="s">
        <v>66</v>
      </c>
      <c r="FK6" s="3" t="s">
        <v>66</v>
      </c>
      <c r="FR6" s="3" t="s">
        <v>66</v>
      </c>
      <c r="FY6" s="3" t="s">
        <v>66</v>
      </c>
      <c r="GF6" s="3" t="s">
        <v>66</v>
      </c>
      <c r="GM6" s="3" t="s">
        <v>66</v>
      </c>
      <c r="GT6" s="3" t="s">
        <v>66</v>
      </c>
      <c r="HA6" s="3" t="s">
        <v>66</v>
      </c>
      <c r="HH6" s="3" t="s">
        <v>66</v>
      </c>
      <c r="HO6" s="3" t="s">
        <v>66</v>
      </c>
      <c r="HV6" s="3" t="s">
        <v>66</v>
      </c>
      <c r="IC6" s="3" t="s">
        <v>66</v>
      </c>
      <c r="IJ6" s="3" t="s">
        <v>66</v>
      </c>
      <c r="IQ6" s="3" t="s">
        <v>66</v>
      </c>
      <c r="IX6" s="3" t="s">
        <v>66</v>
      </c>
      <c r="JE6" s="3" t="s">
        <v>66</v>
      </c>
      <c r="JL6" s="3" t="s">
        <v>66</v>
      </c>
      <c r="JS6" s="3" t="s">
        <v>66</v>
      </c>
      <c r="JZ6" s="3" t="s">
        <v>66</v>
      </c>
      <c r="KG6" s="3" t="s">
        <v>66</v>
      </c>
      <c r="KN6" s="3" t="s">
        <v>66</v>
      </c>
      <c r="KU6" s="3" t="s">
        <v>66</v>
      </c>
      <c r="LB6" s="3" t="s">
        <v>66</v>
      </c>
      <c r="LI6" s="3" t="s">
        <v>66</v>
      </c>
      <c r="LP6" s="3" t="s">
        <v>66</v>
      </c>
      <c r="LW6" s="3" t="s">
        <v>66</v>
      </c>
      <c r="MD6" s="3" t="s">
        <v>66</v>
      </c>
      <c r="MK6" s="3" t="s">
        <v>66</v>
      </c>
      <c r="MR6" s="3" t="s">
        <v>66</v>
      </c>
      <c r="MY6" s="3" t="s">
        <v>66</v>
      </c>
      <c r="NF6" s="3" t="s">
        <v>66</v>
      </c>
      <c r="NG6" s="3">
        <f t="shared" si="1"/>
        <v>51</v>
      </c>
      <c r="NH6" s="3">
        <f t="shared" si="2"/>
        <v>1</v>
      </c>
      <c r="NI6" s="3">
        <f t="shared" si="3"/>
        <v>0</v>
      </c>
    </row>
    <row r="7">
      <c r="A7" s="3" t="str">
        <f>'0_Key'!A6</f>
        <v>Medium</v>
      </c>
      <c r="B7" s="3" t="str">
        <f>'0_Key'!B6</f>
        <v>Horticultural</v>
      </c>
      <c r="C7" s="3" t="str">
        <f>'0_Key'!D6</f>
        <v>Weekly</v>
      </c>
      <c r="D7" s="3" t="str">
        <f>'0_Key'!E6</f>
        <v>Fri</v>
      </c>
      <c r="E7" s="3" t="str">
        <f>'0_Key'!C6</f>
        <v>Water Plants</v>
      </c>
      <c r="H7" s="3" t="s">
        <v>66</v>
      </c>
      <c r="O7" s="3" t="s">
        <v>66</v>
      </c>
      <c r="V7" s="3" t="s">
        <v>66</v>
      </c>
      <c r="AC7" s="3" t="s">
        <v>66</v>
      </c>
      <c r="AJ7" s="3" t="s">
        <v>66</v>
      </c>
      <c r="AQ7" s="3" t="s">
        <v>66</v>
      </c>
      <c r="AX7" s="3" t="s">
        <v>66</v>
      </c>
      <c r="BE7" s="3" t="s">
        <v>66</v>
      </c>
      <c r="BL7" s="3" t="s">
        <v>66</v>
      </c>
      <c r="BS7" s="3" t="s">
        <v>66</v>
      </c>
      <c r="BZ7" s="3" t="s">
        <v>66</v>
      </c>
      <c r="CG7" s="3" t="s">
        <v>66</v>
      </c>
      <c r="CN7" s="3" t="s">
        <v>66</v>
      </c>
      <c r="CU7" s="3" t="s">
        <v>66</v>
      </c>
      <c r="DB7" s="3" t="s">
        <v>66</v>
      </c>
      <c r="DI7" s="3" t="s">
        <v>66</v>
      </c>
      <c r="DP7" s="3" t="s">
        <v>66</v>
      </c>
      <c r="DW7" s="3" t="s">
        <v>66</v>
      </c>
      <c r="ED7" s="3" t="s">
        <v>66</v>
      </c>
      <c r="EK7" s="3" t="s">
        <v>66</v>
      </c>
      <c r="ER7" s="3" t="s">
        <v>66</v>
      </c>
      <c r="EY7" s="3" t="s">
        <v>66</v>
      </c>
      <c r="FF7" s="3" t="s">
        <v>66</v>
      </c>
      <c r="FM7" s="3" t="s">
        <v>66</v>
      </c>
      <c r="FT7" s="3" t="s">
        <v>66</v>
      </c>
      <c r="GA7" s="3" t="s">
        <v>66</v>
      </c>
      <c r="GH7" s="3" t="s">
        <v>66</v>
      </c>
      <c r="GO7" s="3" t="s">
        <v>66</v>
      </c>
      <c r="GV7" s="3" t="s">
        <v>66</v>
      </c>
      <c r="HC7" s="3" t="s">
        <v>66</v>
      </c>
      <c r="HJ7" s="3" t="s">
        <v>66</v>
      </c>
      <c r="HQ7" s="3" t="s">
        <v>66</v>
      </c>
      <c r="HX7" s="3" t="s">
        <v>66</v>
      </c>
      <c r="IE7" s="3" t="s">
        <v>66</v>
      </c>
      <c r="IL7" s="3" t="s">
        <v>66</v>
      </c>
      <c r="IS7" s="3" t="s">
        <v>66</v>
      </c>
      <c r="IZ7" s="3" t="s">
        <v>66</v>
      </c>
      <c r="JG7" s="3" t="s">
        <v>66</v>
      </c>
      <c r="JN7" s="3" t="s">
        <v>66</v>
      </c>
      <c r="JU7" s="3" t="s">
        <v>66</v>
      </c>
      <c r="KB7" s="3" t="s">
        <v>66</v>
      </c>
      <c r="KI7" s="3" t="s">
        <v>66</v>
      </c>
      <c r="KP7" s="3" t="s">
        <v>66</v>
      </c>
      <c r="KW7" s="3" t="s">
        <v>66</v>
      </c>
      <c r="LD7" s="3" t="s">
        <v>66</v>
      </c>
      <c r="LK7" s="3" t="s">
        <v>66</v>
      </c>
      <c r="LR7" s="3" t="s">
        <v>66</v>
      </c>
      <c r="LY7" s="3" t="s">
        <v>66</v>
      </c>
      <c r="MF7" s="3" t="s">
        <v>66</v>
      </c>
      <c r="MM7" s="3" t="s">
        <v>66</v>
      </c>
      <c r="MT7" s="3" t="s">
        <v>66</v>
      </c>
      <c r="NA7" s="3" t="s">
        <v>66</v>
      </c>
      <c r="NG7" s="3">
        <f t="shared" si="1"/>
        <v>52</v>
      </c>
      <c r="NH7" s="3">
        <f t="shared" si="2"/>
        <v>0</v>
      </c>
      <c r="NI7" s="3">
        <f t="shared" si="3"/>
        <v>0</v>
      </c>
    </row>
    <row r="8">
      <c r="A8" s="3" t="str">
        <f>'0_Key'!A7</f>
        <v>Medium</v>
      </c>
      <c r="B8" s="3" t="str">
        <f>'0_Key'!B7</f>
        <v>Creative</v>
      </c>
      <c r="C8" s="3" t="str">
        <f>'0_Key'!D7</f>
        <v>Weekly</v>
      </c>
      <c r="D8" s="3" t="str">
        <f>'0_Key'!E7</f>
        <v>Fri-Mon</v>
      </c>
      <c r="E8" s="3" t="str">
        <f>'0_Key'!C7</f>
        <v>SmallBiz / Media Production</v>
      </c>
      <c r="H8" s="3" t="s">
        <v>66</v>
      </c>
      <c r="I8" s="3" t="s">
        <v>66</v>
      </c>
      <c r="J8" s="3" t="s">
        <v>66</v>
      </c>
      <c r="K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X8" s="3" t="s">
        <v>66</v>
      </c>
      <c r="AY8" s="3" t="s">
        <v>66</v>
      </c>
      <c r="AZ8" s="3" t="s">
        <v>66</v>
      </c>
      <c r="BA8" s="3" t="s">
        <v>66</v>
      </c>
      <c r="BL8" s="3" t="s">
        <v>66</v>
      </c>
      <c r="BM8" s="3" t="s">
        <v>66</v>
      </c>
      <c r="BN8" s="3" t="s">
        <v>66</v>
      </c>
      <c r="BO8" s="3" t="s">
        <v>66</v>
      </c>
      <c r="BZ8" s="3" t="s">
        <v>66</v>
      </c>
      <c r="CA8" s="3" t="s">
        <v>66</v>
      </c>
      <c r="CB8" s="3" t="s">
        <v>66</v>
      </c>
      <c r="CC8" s="3" t="s">
        <v>66</v>
      </c>
      <c r="CN8" s="3" t="s">
        <v>66</v>
      </c>
      <c r="CO8" s="3" t="s">
        <v>66</v>
      </c>
      <c r="CP8" s="3" t="s">
        <v>66</v>
      </c>
      <c r="CQ8" s="3" t="s">
        <v>66</v>
      </c>
      <c r="DB8" s="3" t="s">
        <v>66</v>
      </c>
      <c r="DC8" s="3" t="s">
        <v>66</v>
      </c>
      <c r="DD8" s="3" t="s">
        <v>66</v>
      </c>
      <c r="DE8" s="3" t="s">
        <v>66</v>
      </c>
      <c r="DP8" s="3" t="s">
        <v>66</v>
      </c>
      <c r="DQ8" s="3" t="s">
        <v>66</v>
      </c>
      <c r="DR8" s="3" t="s">
        <v>66</v>
      </c>
      <c r="DS8" s="3" t="s">
        <v>66</v>
      </c>
      <c r="ED8" s="3" t="s">
        <v>66</v>
      </c>
      <c r="EE8" s="3" t="s">
        <v>66</v>
      </c>
      <c r="EF8" s="3" t="s">
        <v>66</v>
      </c>
      <c r="EG8" s="3" t="s">
        <v>66</v>
      </c>
      <c r="ER8" s="3" t="s">
        <v>66</v>
      </c>
      <c r="ES8" s="3" t="s">
        <v>66</v>
      </c>
      <c r="ET8" s="3" t="s">
        <v>66</v>
      </c>
      <c r="EU8" s="3" t="s">
        <v>66</v>
      </c>
      <c r="FF8" s="3" t="s">
        <v>66</v>
      </c>
      <c r="FG8" s="3" t="s">
        <v>66</v>
      </c>
      <c r="FH8" s="3" t="s">
        <v>66</v>
      </c>
      <c r="FI8" s="3" t="s">
        <v>66</v>
      </c>
      <c r="FT8" s="3" t="s">
        <v>66</v>
      </c>
      <c r="FU8" s="3" t="s">
        <v>66</v>
      </c>
      <c r="FV8" s="3" t="s">
        <v>66</v>
      </c>
      <c r="FW8" s="3" t="s">
        <v>66</v>
      </c>
      <c r="GH8" s="3" t="s">
        <v>66</v>
      </c>
      <c r="GI8" s="3" t="s">
        <v>66</v>
      </c>
      <c r="GJ8" s="3" t="s">
        <v>66</v>
      </c>
      <c r="GK8" s="3" t="s">
        <v>66</v>
      </c>
      <c r="GV8" s="3" t="s">
        <v>66</v>
      </c>
      <c r="GW8" s="3" t="s">
        <v>66</v>
      </c>
      <c r="GX8" s="3" t="s">
        <v>66</v>
      </c>
      <c r="GY8" s="3" t="s">
        <v>66</v>
      </c>
      <c r="HJ8" s="3" t="s">
        <v>66</v>
      </c>
      <c r="HK8" s="3" t="s">
        <v>66</v>
      </c>
      <c r="HL8" s="3" t="s">
        <v>66</v>
      </c>
      <c r="HM8" s="3" t="s">
        <v>66</v>
      </c>
      <c r="HX8" s="3" t="s">
        <v>66</v>
      </c>
      <c r="HY8" s="3" t="s">
        <v>66</v>
      </c>
      <c r="HZ8" s="3" t="s">
        <v>66</v>
      </c>
      <c r="IA8" s="3" t="s">
        <v>66</v>
      </c>
      <c r="IL8" s="3" t="s">
        <v>66</v>
      </c>
      <c r="IM8" s="3" t="s">
        <v>66</v>
      </c>
      <c r="IN8" s="3" t="s">
        <v>66</v>
      </c>
      <c r="IO8" s="3" t="s">
        <v>66</v>
      </c>
      <c r="IZ8" s="3" t="s">
        <v>66</v>
      </c>
      <c r="JA8" s="3" t="s">
        <v>66</v>
      </c>
      <c r="JB8" s="3" t="s">
        <v>66</v>
      </c>
      <c r="JC8" s="3" t="s">
        <v>66</v>
      </c>
      <c r="JN8" s="3" t="s">
        <v>66</v>
      </c>
      <c r="JO8" s="3" t="s">
        <v>66</v>
      </c>
      <c r="JP8" s="3" t="s">
        <v>66</v>
      </c>
      <c r="JQ8" s="3" t="s">
        <v>66</v>
      </c>
      <c r="KB8" s="3" t="s">
        <v>66</v>
      </c>
      <c r="KC8" s="3" t="s">
        <v>66</v>
      </c>
      <c r="KD8" s="3" t="s">
        <v>66</v>
      </c>
      <c r="KE8" s="3" t="s">
        <v>66</v>
      </c>
      <c r="KP8" s="3" t="s">
        <v>66</v>
      </c>
      <c r="KQ8" s="3" t="s">
        <v>66</v>
      </c>
      <c r="KR8" s="3" t="s">
        <v>66</v>
      </c>
      <c r="KS8" s="3" t="s">
        <v>66</v>
      </c>
      <c r="LD8" s="3" t="s">
        <v>66</v>
      </c>
      <c r="LE8" s="3" t="s">
        <v>66</v>
      </c>
      <c r="LF8" s="3" t="s">
        <v>66</v>
      </c>
      <c r="LG8" s="3" t="s">
        <v>66</v>
      </c>
      <c r="LR8" s="3" t="s">
        <v>66</v>
      </c>
      <c r="LS8" s="3" t="s">
        <v>66</v>
      </c>
      <c r="LT8" s="3" t="s">
        <v>66</v>
      </c>
      <c r="LU8" s="3" t="s">
        <v>66</v>
      </c>
      <c r="MF8" s="3" t="s">
        <v>66</v>
      </c>
      <c r="MG8" s="3" t="s">
        <v>66</v>
      </c>
      <c r="MH8" s="3" t="s">
        <v>66</v>
      </c>
      <c r="MI8" s="3" t="s">
        <v>66</v>
      </c>
      <c r="MM8" s="3" t="s">
        <v>66</v>
      </c>
      <c r="MN8" s="3" t="s">
        <v>66</v>
      </c>
      <c r="MO8" s="3" t="s">
        <v>66</v>
      </c>
      <c r="MP8" s="3" t="s">
        <v>66</v>
      </c>
      <c r="MT8" s="3" t="s">
        <v>66</v>
      </c>
      <c r="MU8" s="3" t="s">
        <v>66</v>
      </c>
      <c r="MV8" s="3" t="s">
        <v>66</v>
      </c>
      <c r="MW8" s="3" t="s">
        <v>66</v>
      </c>
      <c r="NA8" s="3" t="s">
        <v>66</v>
      </c>
      <c r="NB8" s="3" t="s">
        <v>66</v>
      </c>
      <c r="NC8" s="3" t="s">
        <v>66</v>
      </c>
      <c r="ND8" s="3" t="s">
        <v>66</v>
      </c>
      <c r="NG8" s="3">
        <f t="shared" si="1"/>
        <v>112</v>
      </c>
      <c r="NH8" s="3">
        <f t="shared" si="2"/>
        <v>0</v>
      </c>
      <c r="NI8" s="3">
        <f t="shared" si="3"/>
        <v>0</v>
      </c>
    </row>
    <row r="9">
      <c r="A9" s="3" t="str">
        <f>'0_Key'!A8</f>
        <v>Medium</v>
      </c>
      <c r="B9" s="3" t="str">
        <f>'0_Key'!B8</f>
        <v>Extracurricular</v>
      </c>
      <c r="C9" s="3" t="str">
        <f>'0_Key'!D8</f>
        <v>Weekly</v>
      </c>
      <c r="D9" s="3" t="str">
        <f>'0_Key'!E8</f>
        <v>Sat</v>
      </c>
      <c r="E9" s="3" t="str">
        <f>'0_Key'!C8</f>
        <v>Drone</v>
      </c>
      <c r="I9" s="3" t="s">
        <v>66</v>
      </c>
      <c r="P9" s="3" t="s">
        <v>66</v>
      </c>
      <c r="W9" s="3" t="s">
        <v>66</v>
      </c>
      <c r="AD9" s="3" t="s">
        <v>66</v>
      </c>
      <c r="AK9" s="3" t="s">
        <v>66</v>
      </c>
      <c r="AR9" s="3" t="s">
        <v>66</v>
      </c>
      <c r="AY9" s="3" t="s">
        <v>66</v>
      </c>
      <c r="BF9" s="3" t="s">
        <v>66</v>
      </c>
      <c r="BM9" s="3" t="s">
        <v>66</v>
      </c>
      <c r="BT9" s="3" t="s">
        <v>66</v>
      </c>
      <c r="CA9" s="3" t="s">
        <v>66</v>
      </c>
      <c r="CH9" s="3" t="s">
        <v>66</v>
      </c>
      <c r="CO9" s="3" t="s">
        <v>66</v>
      </c>
      <c r="CV9" s="3" t="s">
        <v>66</v>
      </c>
      <c r="DC9" s="3" t="s">
        <v>66</v>
      </c>
      <c r="DJ9" s="3" t="s">
        <v>66</v>
      </c>
      <c r="DQ9" s="3" t="s">
        <v>66</v>
      </c>
      <c r="DX9" s="3" t="s">
        <v>66</v>
      </c>
      <c r="EE9" s="3" t="s">
        <v>66</v>
      </c>
      <c r="EL9" s="3" t="s">
        <v>66</v>
      </c>
      <c r="ES9" s="3" t="s">
        <v>66</v>
      </c>
      <c r="EZ9" s="3" t="s">
        <v>66</v>
      </c>
      <c r="FG9" s="3" t="s">
        <v>66</v>
      </c>
      <c r="FN9" s="3" t="s">
        <v>66</v>
      </c>
      <c r="FU9" s="3" t="s">
        <v>66</v>
      </c>
      <c r="GB9" s="3" t="s">
        <v>66</v>
      </c>
      <c r="GI9" s="3" t="s">
        <v>66</v>
      </c>
      <c r="GP9" s="3" t="s">
        <v>66</v>
      </c>
      <c r="GW9" s="3" t="s">
        <v>66</v>
      </c>
      <c r="HD9" s="3" t="s">
        <v>66</v>
      </c>
      <c r="HK9" s="3" t="s">
        <v>66</v>
      </c>
      <c r="HR9" s="3" t="s">
        <v>66</v>
      </c>
      <c r="HY9" s="3" t="s">
        <v>66</v>
      </c>
      <c r="IF9" s="3" t="s">
        <v>66</v>
      </c>
      <c r="IM9" s="3" t="s">
        <v>66</v>
      </c>
      <c r="IT9" s="3" t="s">
        <v>66</v>
      </c>
      <c r="JA9" s="3" t="s">
        <v>66</v>
      </c>
      <c r="JH9" s="3" t="s">
        <v>66</v>
      </c>
      <c r="JO9" s="3" t="s">
        <v>66</v>
      </c>
      <c r="JV9" s="3" t="s">
        <v>66</v>
      </c>
      <c r="KC9" s="3" t="s">
        <v>66</v>
      </c>
      <c r="KJ9" s="3" t="s">
        <v>66</v>
      </c>
      <c r="KQ9" s="3" t="s">
        <v>66</v>
      </c>
      <c r="KX9" s="3" t="s">
        <v>66</v>
      </c>
      <c r="LE9" s="3" t="s">
        <v>66</v>
      </c>
      <c r="LL9" s="3" t="s">
        <v>66</v>
      </c>
      <c r="LS9" s="3" t="s">
        <v>66</v>
      </c>
      <c r="LZ9" s="3" t="s">
        <v>66</v>
      </c>
      <c r="MG9" s="3" t="s">
        <v>66</v>
      </c>
      <c r="MN9" s="3" t="s">
        <v>66</v>
      </c>
      <c r="MU9" s="3" t="s">
        <v>66</v>
      </c>
      <c r="NB9" s="3" t="s">
        <v>66</v>
      </c>
      <c r="NG9" s="3">
        <f t="shared" si="1"/>
        <v>52</v>
      </c>
      <c r="NH9" s="3">
        <f t="shared" si="2"/>
        <v>0</v>
      </c>
      <c r="NI9" s="3">
        <f t="shared" si="3"/>
        <v>0</v>
      </c>
    </row>
    <row r="10">
      <c r="A10" s="3" t="str">
        <f>'0_Key'!A9</f>
        <v>High</v>
      </c>
      <c r="B10" s="3" t="str">
        <f>'0_Key'!B9</f>
        <v>Family</v>
      </c>
      <c r="C10" s="3" t="str">
        <f>'0_Key'!D9</f>
        <v>Weekly</v>
      </c>
      <c r="D10" s="3" t="str">
        <f>'0_Key'!E9</f>
        <v>Sun</v>
      </c>
      <c r="E10" s="3" t="str">
        <f>'0_Key'!C9</f>
        <v>Breakfast / Lunch / Dinner</v>
      </c>
      <c r="J10" s="3" t="s">
        <v>66</v>
      </c>
      <c r="Q10" s="3" t="s">
        <v>66</v>
      </c>
      <c r="X10" s="3" t="s">
        <v>66</v>
      </c>
      <c r="AE10" s="3" t="s">
        <v>66</v>
      </c>
      <c r="AL10" s="3" t="s">
        <v>66</v>
      </c>
      <c r="AS10" s="3" t="s">
        <v>66</v>
      </c>
      <c r="AZ10" s="3" t="s">
        <v>66</v>
      </c>
      <c r="BG10" s="3" t="s">
        <v>66</v>
      </c>
      <c r="BN10" s="3" t="s">
        <v>66</v>
      </c>
      <c r="BU10" s="3" t="s">
        <v>66</v>
      </c>
      <c r="CB10" s="3" t="s">
        <v>66</v>
      </c>
      <c r="CI10" s="3" t="s">
        <v>66</v>
      </c>
      <c r="CP10" s="3" t="s">
        <v>66</v>
      </c>
      <c r="CW10" s="3" t="s">
        <v>66</v>
      </c>
      <c r="DD10" s="3" t="s">
        <v>66</v>
      </c>
      <c r="DK10" s="3" t="s">
        <v>66</v>
      </c>
      <c r="DR10" s="3" t="s">
        <v>66</v>
      </c>
      <c r="DY10" s="3" t="s">
        <v>66</v>
      </c>
      <c r="EF10" s="3" t="s">
        <v>66</v>
      </c>
      <c r="EM10" s="3" t="s">
        <v>66</v>
      </c>
      <c r="ET10" s="3" t="s">
        <v>66</v>
      </c>
      <c r="FA10" s="3" t="s">
        <v>66</v>
      </c>
      <c r="FH10" s="3" t="s">
        <v>66</v>
      </c>
      <c r="FO10" s="3" t="s">
        <v>66</v>
      </c>
      <c r="FV10" s="3" t="s">
        <v>66</v>
      </c>
      <c r="GC10" s="3" t="s">
        <v>66</v>
      </c>
      <c r="GJ10" s="3" t="s">
        <v>66</v>
      </c>
      <c r="GQ10" s="3" t="s">
        <v>66</v>
      </c>
      <c r="GX10" s="3" t="s">
        <v>66</v>
      </c>
      <c r="HE10" s="3" t="s">
        <v>66</v>
      </c>
      <c r="HL10" s="3" t="s">
        <v>66</v>
      </c>
      <c r="HS10" s="3" t="s">
        <v>66</v>
      </c>
      <c r="HZ10" s="3" t="s">
        <v>66</v>
      </c>
      <c r="IG10" s="3" t="s">
        <v>66</v>
      </c>
      <c r="IN10" s="3" t="s">
        <v>66</v>
      </c>
      <c r="IU10" s="3" t="s">
        <v>66</v>
      </c>
      <c r="JB10" s="3" t="s">
        <v>66</v>
      </c>
      <c r="JI10" s="3" t="s">
        <v>66</v>
      </c>
      <c r="JP10" s="3" t="s">
        <v>66</v>
      </c>
      <c r="JW10" s="3" t="s">
        <v>66</v>
      </c>
      <c r="KD10" s="3" t="s">
        <v>66</v>
      </c>
      <c r="KK10" s="3" t="s">
        <v>66</v>
      </c>
      <c r="KR10" s="3" t="s">
        <v>66</v>
      </c>
      <c r="KY10" s="3" t="s">
        <v>66</v>
      </c>
      <c r="LF10" s="3" t="s">
        <v>66</v>
      </c>
      <c r="LM10" s="3" t="s">
        <v>66</v>
      </c>
      <c r="LT10" s="3" t="s">
        <v>66</v>
      </c>
      <c r="MA10" s="3" t="s">
        <v>66</v>
      </c>
      <c r="MH10" s="3" t="s">
        <v>66</v>
      </c>
      <c r="MO10" s="3" t="s">
        <v>66</v>
      </c>
      <c r="MV10" s="3" t="s">
        <v>66</v>
      </c>
      <c r="NC10" s="3" t="s">
        <v>66</v>
      </c>
      <c r="NG10" s="3">
        <f t="shared" si="1"/>
        <v>52</v>
      </c>
      <c r="NH10" s="3">
        <f t="shared" si="2"/>
        <v>0</v>
      </c>
      <c r="NI10" s="3">
        <f t="shared" si="3"/>
        <v>0</v>
      </c>
    </row>
    <row r="11">
      <c r="A11" s="3" t="str">
        <f>'0_Key'!A10</f>
        <v>Medium</v>
      </c>
      <c r="B11" s="3" t="str">
        <f>'0_Key'!B10</f>
        <v>Travel</v>
      </c>
      <c r="C11" s="3" t="str">
        <f>'0_Key'!D10</f>
        <v>Weekly</v>
      </c>
      <c r="D11" s="3" t="str">
        <f>'0_Key'!E11</f>
        <v>Sun</v>
      </c>
      <c r="E11" s="3" t="str">
        <f>'0_Key'!C10</f>
        <v>Q1 '25 - Q3 '25 APAC Trip</v>
      </c>
      <c r="Q11" s="3" t="s">
        <v>66</v>
      </c>
      <c r="X11" s="3" t="s">
        <v>66</v>
      </c>
      <c r="AE11" s="3" t="s">
        <v>66</v>
      </c>
      <c r="AL11" s="3" t="s">
        <v>66</v>
      </c>
      <c r="AS11" s="3" t="s">
        <v>66</v>
      </c>
      <c r="AZ11" s="3" t="s">
        <v>66</v>
      </c>
      <c r="BG11" s="3" t="s">
        <v>66</v>
      </c>
      <c r="BN11" s="3" t="s">
        <v>66</v>
      </c>
      <c r="BU11" s="3" t="s">
        <v>66</v>
      </c>
      <c r="CB11" s="3" t="s">
        <v>66</v>
      </c>
      <c r="CI11" s="3" t="s">
        <v>66</v>
      </c>
      <c r="CP11" s="3" t="s">
        <v>66</v>
      </c>
      <c r="CW11" s="3" t="s">
        <v>66</v>
      </c>
      <c r="DD11" s="3" t="s">
        <v>66</v>
      </c>
      <c r="DK11" s="3" t="s">
        <v>66</v>
      </c>
      <c r="DR11" s="3" t="s">
        <v>66</v>
      </c>
      <c r="DY11" s="3" t="s">
        <v>66</v>
      </c>
      <c r="EF11" s="3" t="s">
        <v>66</v>
      </c>
      <c r="EM11" s="3" t="s">
        <v>66</v>
      </c>
      <c r="ET11" s="3" t="s">
        <v>66</v>
      </c>
      <c r="FA11" s="3" t="s">
        <v>66</v>
      </c>
      <c r="FH11" s="3" t="s">
        <v>66</v>
      </c>
      <c r="FO11" s="3" t="s">
        <v>66</v>
      </c>
      <c r="FV11" s="3" t="s">
        <v>66</v>
      </c>
      <c r="GC11" s="3" t="s">
        <v>66</v>
      </c>
      <c r="GJ11" s="3" t="s">
        <v>66</v>
      </c>
      <c r="GQ11" s="3" t="s">
        <v>66</v>
      </c>
      <c r="GX11" s="3" t="s">
        <v>66</v>
      </c>
      <c r="HE11" s="3" t="s">
        <v>66</v>
      </c>
      <c r="HL11" s="3" t="s">
        <v>66</v>
      </c>
      <c r="HS11" s="3" t="s">
        <v>66</v>
      </c>
      <c r="HZ11" s="3" t="s">
        <v>66</v>
      </c>
      <c r="IG11" s="3" t="s">
        <v>66</v>
      </c>
      <c r="IN11" s="3" t="s">
        <v>66</v>
      </c>
      <c r="IU11" s="3" t="s">
        <v>66</v>
      </c>
      <c r="JB11" s="3" t="s">
        <v>66</v>
      </c>
      <c r="JI11" s="3" t="s">
        <v>66</v>
      </c>
      <c r="JP11" s="3" t="s">
        <v>66</v>
      </c>
      <c r="JW11" s="3" t="s">
        <v>66</v>
      </c>
      <c r="KD11" s="3" t="s">
        <v>66</v>
      </c>
      <c r="KK11" s="3" t="s">
        <v>66</v>
      </c>
      <c r="KR11" s="3" t="s">
        <v>66</v>
      </c>
      <c r="KY11" s="3" t="s">
        <v>66</v>
      </c>
      <c r="LF11" s="3" t="s">
        <v>66</v>
      </c>
      <c r="LM11" s="3" t="s">
        <v>66</v>
      </c>
      <c r="LT11" s="3" t="s">
        <v>66</v>
      </c>
      <c r="MA11" s="3" t="s">
        <v>66</v>
      </c>
      <c r="MH11" s="3" t="s">
        <v>66</v>
      </c>
      <c r="MO11" s="3" t="s">
        <v>66</v>
      </c>
      <c r="MV11" s="3" t="s">
        <v>66</v>
      </c>
      <c r="NC11" s="3" t="s">
        <v>66</v>
      </c>
      <c r="NG11" s="3">
        <f t="shared" si="1"/>
        <v>51</v>
      </c>
      <c r="NH11" s="3">
        <f t="shared" si="2"/>
        <v>0</v>
      </c>
      <c r="NI11" s="3">
        <f t="shared" si="3"/>
        <v>0</v>
      </c>
    </row>
    <row r="12">
      <c r="A12" s="3" t="str">
        <f>'0_Key'!A11</f>
        <v>Medium</v>
      </c>
      <c r="B12" s="3" t="str">
        <f>'0_Key'!B11</f>
        <v>Spiritual</v>
      </c>
      <c r="C12" s="3" t="str">
        <f>'0_Key'!D11</f>
        <v>Bi-Weekly</v>
      </c>
      <c r="D12" s="3" t="str">
        <f>'0_Key'!E10</f>
        <v>Sun</v>
      </c>
      <c r="E12" s="3" t="str">
        <f>'0_Key'!C11</f>
        <v>Church / Philanthropy / Charity</v>
      </c>
      <c r="Q12" s="3" t="s">
        <v>66</v>
      </c>
      <c r="AE12" s="3" t="s">
        <v>66</v>
      </c>
      <c r="AS12" s="3" t="s">
        <v>66</v>
      </c>
      <c r="BG12" s="3" t="s">
        <v>66</v>
      </c>
      <c r="BU12" s="3" t="s">
        <v>66</v>
      </c>
      <c r="CI12" s="3" t="s">
        <v>66</v>
      </c>
      <c r="CW12" s="3" t="s">
        <v>66</v>
      </c>
      <c r="DK12" s="3" t="s">
        <v>66</v>
      </c>
      <c r="DY12" s="3" t="s">
        <v>66</v>
      </c>
      <c r="EM12" s="3" t="s">
        <v>66</v>
      </c>
      <c r="FA12" s="3" t="s">
        <v>66</v>
      </c>
      <c r="FO12" s="3" t="s">
        <v>66</v>
      </c>
      <c r="GC12" s="3" t="s">
        <v>66</v>
      </c>
      <c r="GQ12" s="3" t="s">
        <v>66</v>
      </c>
      <c r="HE12" s="3" t="s">
        <v>66</v>
      </c>
      <c r="HS12" s="3" t="s">
        <v>66</v>
      </c>
      <c r="IG12" s="3" t="s">
        <v>66</v>
      </c>
      <c r="IU12" s="3" t="s">
        <v>66</v>
      </c>
      <c r="JI12" s="3" t="s">
        <v>66</v>
      </c>
      <c r="JW12" s="3" t="s">
        <v>66</v>
      </c>
      <c r="KK12" s="3" t="s">
        <v>66</v>
      </c>
      <c r="KY12" s="3" t="s">
        <v>66</v>
      </c>
      <c r="LM12" s="3" t="s">
        <v>66</v>
      </c>
      <c r="MA12" s="3" t="s">
        <v>66</v>
      </c>
      <c r="MO12" s="3" t="s">
        <v>66</v>
      </c>
      <c r="NC12" s="3" t="s">
        <v>66</v>
      </c>
      <c r="NG12" s="3">
        <f t="shared" si="1"/>
        <v>26</v>
      </c>
      <c r="NH12" s="3">
        <f t="shared" si="2"/>
        <v>0</v>
      </c>
      <c r="NI12" s="3">
        <f t="shared" si="3"/>
        <v>0</v>
      </c>
    </row>
    <row r="13">
      <c r="E13" s="13" t="s">
        <v>69</v>
      </c>
      <c r="NG13" s="14">
        <f t="shared" ref="NG13:NI13" si="4">SUM(NG3:NG12)</f>
        <v>1486</v>
      </c>
      <c r="NH13" s="14">
        <f t="shared" si="4"/>
        <v>5</v>
      </c>
      <c r="NI13" s="14">
        <f t="shared" si="4"/>
        <v>1</v>
      </c>
    </row>
    <row r="14">
      <c r="E14" s="1"/>
    </row>
    <row r="15">
      <c r="A15" s="3" t="s">
        <v>70</v>
      </c>
      <c r="C15" s="15">
        <f>TODAY()</f>
        <v>46246</v>
      </c>
      <c r="D15" s="16"/>
      <c r="E15" s="1"/>
    </row>
    <row r="16">
      <c r="A16" s="3" t="s">
        <v>37</v>
      </c>
      <c r="C16" s="3" t="s">
        <v>66</v>
      </c>
      <c r="D16" s="3">
        <f>NG13</f>
        <v>1486</v>
      </c>
      <c r="E16" s="1"/>
    </row>
    <row r="17">
      <c r="A17" s="3" t="s">
        <v>17</v>
      </c>
      <c r="C17" s="17" t="s">
        <v>67</v>
      </c>
      <c r="D17" s="3">
        <f>NH13</f>
        <v>5</v>
      </c>
      <c r="E17" s="1"/>
    </row>
    <row r="18">
      <c r="A18" s="3" t="s">
        <v>71</v>
      </c>
      <c r="C18" s="18" t="s">
        <v>62</v>
      </c>
      <c r="D18" s="3">
        <f>NI13</f>
        <v>1</v>
      </c>
      <c r="E18" s="1"/>
    </row>
    <row r="19">
      <c r="E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6">
    <cfRule type="containsText" dxfId="2" priority="1" operator="containsText" text="NS">
      <formula>NOT(ISERROR(SEARCH(("NS"),(C16))))</formula>
    </cfRule>
  </conditionalFormatting>
  <conditionalFormatting sqref="C16">
    <cfRule type="beginsWith" dxfId="0" priority="2" operator="beginsWith" text="C">
      <formula>LEFT((C16),LEN("C"))=("C")</formula>
    </cfRule>
  </conditionalFormatting>
  <conditionalFormatting sqref="C16">
    <cfRule type="containsText" dxfId="1" priority="3" operator="containsText" text="I">
      <formula>NOT(ISERROR(SEARCH(("I"),(C16))))</formula>
    </cfRule>
  </conditionalFormatting>
  <conditionalFormatting sqref="F1:NF1">
    <cfRule type="timePeriod" dxfId="3" priority="4" timePeriod="today"/>
  </conditionalFormatting>
  <conditionalFormatting sqref="F3:NF13">
    <cfRule type="containsText" dxfId="2" priority="5" operator="containsText" text="NS">
      <formula>NOT(ISERROR(SEARCH(("NS"),(F3))))</formula>
    </cfRule>
  </conditionalFormatting>
  <conditionalFormatting sqref="F3:NF13">
    <cfRule type="beginsWith" dxfId="4" priority="6" operator="beginsWith" text="C">
      <formula>LEFT((F3),LEN("C"))=("C")</formula>
    </cfRule>
  </conditionalFormatting>
  <conditionalFormatting sqref="F3:NF13">
    <cfRule type="containsText" dxfId="1" priority="7" operator="containsText" text="F">
      <formula>NOT(ISERROR(SEARCH(("F"),(F3))))</formula>
    </cfRule>
  </conditionalFormatting>
  <conditionalFormatting sqref="NG1:NI1">
    <cfRule type="beginsWith" dxfId="0" priority="8" operator="beginsWith" text="S">
      <formula>LEFT((NG1),LEN("S"))=("S")</formula>
    </cfRule>
  </conditionalFormatting>
  <conditionalFormatting sqref="NG1:NI1">
    <cfRule type="containsText" dxfId="1" priority="9" operator="containsText" text="DNS">
      <formula>NOT(ISERROR(SEARCH(("DNS"),(NG1))))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 outlineLevelCol="1"/>
  <cols>
    <col customWidth="1" min="1" max="1" width="8.43"/>
    <col customWidth="1" min="2" max="2" width="13.86"/>
    <col customWidth="1" min="3" max="3" width="10.29"/>
    <col customWidth="1" min="4" max="4" width="5.43"/>
    <col customWidth="1" min="5" max="5" width="28.86"/>
    <col customWidth="1" min="6" max="6" width="11.43" outlineLevel="1"/>
    <col customWidth="1" min="7" max="11" width="8.71" outlineLevel="1"/>
    <col customWidth="1" min="12" max="12" width="8.29" outlineLevel="1"/>
    <col customWidth="1" min="13" max="13" width="11.43" outlineLevel="1"/>
    <col customWidth="1" min="14" max="14" width="9.0" outlineLevel="1"/>
    <col customWidth="1" min="15" max="15" width="6.57" outlineLevel="1"/>
    <col customWidth="1" min="16" max="16" width="8.71" outlineLevel="1"/>
    <col customWidth="1" min="17" max="17" width="7.43" outlineLevel="1"/>
    <col customWidth="1" min="18" max="18" width="8.14" outlineLevel="1"/>
    <col customWidth="1" min="19" max="19" width="8.29" outlineLevel="1"/>
    <col customWidth="1" min="20" max="20" width="11.43" outlineLevel="1"/>
    <col customWidth="1" min="21" max="21" width="9.0" outlineLevel="1"/>
    <col customWidth="1" min="22" max="22" width="6.57" outlineLevel="1"/>
    <col customWidth="1" min="23" max="23" width="8.71" outlineLevel="1"/>
    <col customWidth="1" min="24" max="24" width="7.43" outlineLevel="1"/>
    <col customWidth="1" min="25" max="25" width="8.14" outlineLevel="1"/>
    <col customWidth="1" min="26" max="26" width="8.29" outlineLevel="1"/>
    <col customWidth="1" min="27" max="27" width="11.43" outlineLevel="1"/>
    <col customWidth="1" min="28" max="28" width="9.0" outlineLevel="1"/>
    <col customWidth="1" min="29" max="29" width="6.57" outlineLevel="1"/>
    <col customWidth="1" min="30" max="30" width="8.71" outlineLevel="1"/>
    <col customWidth="1" min="31" max="31" width="7.43" outlineLevel="1"/>
    <col customWidth="1" min="32" max="32" width="8.14" outlineLevel="1"/>
    <col customWidth="1" min="33" max="33" width="8.29" outlineLevel="1"/>
    <col customWidth="1" min="34" max="34" width="11.43" outlineLevel="1"/>
    <col customWidth="1" min="35" max="35" width="9.0" outlineLevel="1"/>
    <col customWidth="1" min="36" max="36" width="6.57" outlineLevel="1"/>
    <col customWidth="1" min="37" max="37" width="8.71" outlineLevel="1"/>
    <col customWidth="1" min="38" max="38" width="7.43" outlineLevel="1"/>
    <col customWidth="1" min="39" max="39" width="8.14" outlineLevel="1"/>
    <col customWidth="1" min="40" max="40" width="8.29" outlineLevel="1"/>
    <col customWidth="1" min="41" max="41" width="11.43" outlineLevel="1"/>
    <col customWidth="1" min="42" max="42" width="9.0" outlineLevel="1"/>
    <col customWidth="1" min="43" max="43" width="6.43" outlineLevel="1"/>
    <col customWidth="1" min="44" max="44" width="8.71" outlineLevel="1"/>
    <col customWidth="1" min="45" max="45" width="7.43" outlineLevel="1"/>
    <col customWidth="1" min="46" max="46" width="8.14" outlineLevel="1"/>
    <col customWidth="1" min="47" max="47" width="8.29" outlineLevel="1"/>
    <col customWidth="1" min="48" max="48" width="11.43" outlineLevel="1"/>
    <col customWidth="1" min="49" max="49" width="9.0" outlineLevel="1"/>
    <col customWidth="1" min="50" max="50" width="7.0" outlineLevel="1"/>
    <col customWidth="1" min="51" max="51" width="8.71" outlineLevel="1"/>
    <col customWidth="1" min="52" max="52" width="7.43" outlineLevel="1"/>
    <col customWidth="1" min="53" max="53" width="8.14" outlineLevel="1"/>
    <col customWidth="1" min="54" max="54" width="8.29" outlineLevel="1"/>
    <col customWidth="1" min="55" max="55" width="11.43" outlineLevel="1"/>
    <col customWidth="1" min="56" max="56" width="9.0" outlineLevel="1"/>
    <col customWidth="1" min="57" max="57" width="7.0" outlineLevel="1"/>
    <col customWidth="1" min="58" max="58" width="8.71" outlineLevel="1"/>
    <col customWidth="1" min="59" max="59" width="7.43" outlineLevel="1"/>
    <col customWidth="1" min="60" max="60" width="8.14" outlineLevel="1"/>
    <col customWidth="1" min="61" max="61" width="8.29" outlineLevel="1"/>
    <col customWidth="1" min="62" max="62" width="11.43" outlineLevel="1"/>
    <col customWidth="1" min="63" max="63" width="9.0" outlineLevel="1"/>
    <col customWidth="1" min="64" max="64" width="7.0" outlineLevel="1"/>
    <col customWidth="1" min="65" max="65" width="8.71" outlineLevel="1"/>
    <col customWidth="1" min="66" max="66" width="7.43" outlineLevel="1"/>
    <col customWidth="1" min="67" max="67" width="8.14" outlineLevel="1"/>
    <col customWidth="1" min="68" max="68" width="8.29" outlineLevel="1"/>
    <col customWidth="1" min="69" max="69" width="11.43" outlineLevel="1"/>
    <col customWidth="1" min="70" max="70" width="9.0" outlineLevel="1"/>
    <col customWidth="1" min="71" max="71" width="6.43" outlineLevel="1"/>
    <col customWidth="1" min="72" max="72" width="8.71" outlineLevel="1"/>
    <col customWidth="1" min="73" max="73" width="7.43" outlineLevel="1"/>
    <col customWidth="1" min="74" max="74" width="8.14" outlineLevel="1"/>
    <col customWidth="1" min="75" max="75" width="8.29" outlineLevel="1"/>
    <col customWidth="1" min="76" max="76" width="11.43" outlineLevel="1"/>
    <col customWidth="1" min="77" max="77" width="9.0" outlineLevel="1"/>
    <col customWidth="1" min="78" max="78" width="7.14" outlineLevel="1"/>
    <col customWidth="1" min="79" max="79" width="8.71" outlineLevel="1"/>
    <col customWidth="1" min="80" max="80" width="7.43" outlineLevel="1"/>
    <col customWidth="1" min="81" max="81" width="8.14" outlineLevel="1"/>
    <col customWidth="1" min="82" max="82" width="8.29" outlineLevel="1"/>
    <col customWidth="1" min="83" max="83" width="11.43" outlineLevel="1"/>
    <col customWidth="1" min="84" max="84" width="9.0" outlineLevel="1"/>
    <col customWidth="1" min="85" max="85" width="7.14" outlineLevel="1"/>
    <col customWidth="1" min="86" max="86" width="8.71" outlineLevel="1"/>
    <col customWidth="1" min="87" max="87" width="7.43" outlineLevel="1"/>
    <col customWidth="1" min="88" max="88" width="8.14" outlineLevel="1"/>
    <col customWidth="1" min="89" max="89" width="8.29" outlineLevel="1"/>
    <col customWidth="1" min="90" max="90" width="11.43" outlineLevel="1"/>
    <col customWidth="1" min="91" max="91" width="9.0" outlineLevel="1"/>
    <col customWidth="1" min="92" max="92" width="7.14" outlineLevel="1"/>
    <col customWidth="1" min="93" max="93" width="8.71" outlineLevel="1"/>
    <col customWidth="1" min="94" max="94" width="7.43" outlineLevel="1"/>
    <col customWidth="1" min="95" max="95" width="8.14" outlineLevel="1"/>
    <col customWidth="1" min="96" max="96" width="8.29" outlineLevel="1"/>
    <col customWidth="1" min="97" max="97" width="11.43" outlineLevel="1"/>
    <col customWidth="1" min="98" max="98" width="9.0" outlineLevel="1"/>
    <col customWidth="1" min="99" max="99" width="6.43" outlineLevel="1"/>
    <col customWidth="1" min="100" max="100" width="8.71" outlineLevel="1"/>
    <col customWidth="1" min="101" max="101" width="7.43" outlineLevel="1"/>
    <col customWidth="1" min="102" max="102" width="8.14" outlineLevel="1"/>
    <col customWidth="1" min="103" max="103" width="8.29" outlineLevel="1"/>
    <col customWidth="1" min="104" max="104" width="11.43" outlineLevel="1"/>
    <col customWidth="1" min="105" max="105" width="9.0" outlineLevel="1"/>
    <col customWidth="1" min="106" max="106" width="6.86" outlineLevel="1"/>
    <col customWidth="1" min="107" max="107" width="8.71" outlineLevel="1"/>
    <col customWidth="1" min="108" max="108" width="7.43" outlineLevel="1"/>
    <col customWidth="1" min="109" max="109" width="8.14" outlineLevel="1"/>
    <col customWidth="1" min="110" max="110" width="8.29" outlineLevel="1"/>
    <col customWidth="1" min="111" max="111" width="11.43" outlineLevel="1"/>
    <col customWidth="1" min="112" max="112" width="9.0" outlineLevel="1"/>
    <col customWidth="1" min="113" max="113" width="6.86" outlineLevel="1"/>
    <col customWidth="1" min="114" max="114" width="8.71" outlineLevel="1"/>
    <col customWidth="1" min="115" max="115" width="7.43" outlineLevel="1"/>
    <col customWidth="1" min="116" max="116" width="8.14" outlineLevel="1"/>
    <col customWidth="1" min="117" max="117" width="8.29" outlineLevel="1"/>
    <col customWidth="1" min="118" max="118" width="11.43" outlineLevel="1"/>
    <col customWidth="1" min="119" max="119" width="9.0" outlineLevel="1"/>
    <col customWidth="1" min="120" max="120" width="6.86" outlineLevel="1"/>
    <col customWidth="1" min="121" max="121" width="8.71" outlineLevel="1"/>
    <col customWidth="1" min="122" max="122" width="7.43" outlineLevel="1"/>
    <col customWidth="1" min="123" max="123" width="8.14" outlineLevel="1"/>
    <col customWidth="1" min="124" max="124" width="8.29" outlineLevel="1"/>
    <col customWidth="1" min="125" max="125" width="11.43" outlineLevel="1"/>
    <col customWidth="1" min="126" max="126" width="9.0" outlineLevel="1"/>
    <col customWidth="1" min="127" max="127" width="6.43" outlineLevel="1"/>
    <col customWidth="1" min="128" max="128" width="8.71" outlineLevel="1"/>
    <col customWidth="1" min="129" max="129" width="7.43" outlineLevel="1"/>
    <col customWidth="1" min="130" max="130" width="8.14" outlineLevel="1"/>
    <col customWidth="1" min="131" max="131" width="8.29" outlineLevel="1"/>
    <col customWidth="1" min="132" max="132" width="11.43" outlineLevel="1"/>
    <col customWidth="1" min="133" max="133" width="9.0" outlineLevel="1"/>
    <col customWidth="1" min="134" max="134" width="6.43" outlineLevel="1"/>
    <col customWidth="1" min="135" max="135" width="8.71" outlineLevel="1"/>
    <col customWidth="1" min="136" max="136" width="7.43" outlineLevel="1"/>
    <col customWidth="1" min="137" max="137" width="8.14" outlineLevel="1"/>
    <col customWidth="1" min="138" max="138" width="8.29" outlineLevel="1"/>
    <col customWidth="1" min="139" max="139" width="11.43" outlineLevel="1"/>
    <col customWidth="1" min="140" max="140" width="9.0" outlineLevel="1"/>
    <col customWidth="1" min="141" max="141" width="7.43" outlineLevel="1"/>
    <col customWidth="1" min="142" max="142" width="8.71" outlineLevel="1"/>
    <col customWidth="1" min="143" max="143" width="7.43" outlineLevel="1"/>
    <col customWidth="1" min="144" max="144" width="8.14" outlineLevel="1"/>
    <col customWidth="1" min="145" max="145" width="8.29" outlineLevel="1"/>
    <col customWidth="1" min="146" max="146" width="11.43" outlineLevel="1"/>
    <col customWidth="1" min="147" max="147" width="9.0" outlineLevel="1"/>
    <col customWidth="1" min="148" max="148" width="7.43" outlineLevel="1"/>
    <col customWidth="1" min="149" max="149" width="8.71" outlineLevel="1"/>
    <col customWidth="1" min="150" max="150" width="7.43" outlineLevel="1"/>
    <col customWidth="1" min="151" max="151" width="8.14" outlineLevel="1"/>
    <col customWidth="1" min="152" max="152" width="8.29" outlineLevel="1"/>
    <col customWidth="1" min="153" max="153" width="11.43" outlineLevel="1"/>
    <col customWidth="1" min="154" max="154" width="9.0" outlineLevel="1"/>
    <col customWidth="1" min="155" max="155" width="7.43" outlineLevel="1"/>
    <col customWidth="1" min="156" max="156" width="8.71" outlineLevel="1"/>
    <col customWidth="1" min="157" max="157" width="7.43" outlineLevel="1"/>
    <col customWidth="1" min="158" max="158" width="8.14" outlineLevel="1"/>
    <col customWidth="1" min="159" max="159" width="8.29" outlineLevel="1"/>
    <col customWidth="1" min="160" max="160" width="11.43" outlineLevel="1"/>
    <col customWidth="1" min="161" max="161" width="9.0" outlineLevel="1"/>
    <col customWidth="1" min="162" max="162" width="6.43" outlineLevel="1"/>
    <col customWidth="1" min="163" max="163" width="8.71" outlineLevel="1"/>
    <col customWidth="1" min="164" max="164" width="7.43" outlineLevel="1"/>
    <col customWidth="1" min="165" max="165" width="8.14" outlineLevel="1"/>
    <col customWidth="1" min="166" max="166" width="8.29" outlineLevel="1"/>
    <col customWidth="1" min="167" max="167" width="11.43" outlineLevel="1"/>
    <col customWidth="1" min="168" max="168" width="9.0" outlineLevel="1"/>
    <col customWidth="1" min="169" max="169" width="6.71" outlineLevel="1"/>
    <col customWidth="1" min="170" max="170" width="8.71" outlineLevel="1"/>
    <col customWidth="1" min="171" max="171" width="7.43" outlineLevel="1"/>
    <col customWidth="1" min="172" max="172" width="8.14" outlineLevel="1"/>
    <col customWidth="1" min="173" max="173" width="8.29" outlineLevel="1"/>
    <col customWidth="1" min="174" max="174" width="11.43" outlineLevel="1"/>
    <col customWidth="1" min="175" max="175" width="9.0" outlineLevel="1"/>
    <col customWidth="1" min="176" max="176" width="6.71" outlineLevel="1"/>
    <col customWidth="1" min="177" max="177" width="8.71" outlineLevel="1"/>
    <col customWidth="1" min="178" max="178" width="7.43" outlineLevel="1"/>
    <col customWidth="1" min="179" max="179" width="8.14" outlineLevel="1"/>
    <col customWidth="1" min="180" max="180" width="8.29" outlineLevel="1"/>
    <col customWidth="1" min="181" max="181" width="11.43" outlineLevel="1"/>
    <col customWidth="1" min="182" max="182" width="9.0" outlineLevel="1"/>
    <col customWidth="1" min="183" max="183" width="6.71" outlineLevel="1"/>
    <col customWidth="1" min="184" max="184" width="8.71" outlineLevel="1"/>
    <col customWidth="1" min="185" max="185" width="7.43" outlineLevel="1"/>
    <col customWidth="1" min="186" max="186" width="8.14" outlineLevel="1"/>
    <col customWidth="1" min="187" max="187" width="8.29" outlineLevel="1"/>
    <col customWidth="1" min="188" max="188" width="11.43" outlineLevel="1"/>
    <col customWidth="1" min="189" max="189" width="9.0" outlineLevel="1"/>
    <col customWidth="1" min="190" max="190" width="6.43" outlineLevel="1"/>
    <col customWidth="1" min="191" max="191" width="8.71" outlineLevel="1"/>
    <col customWidth="1" min="192" max="192" width="7.43" outlineLevel="1"/>
    <col customWidth="1" min="193" max="193" width="8.14" outlineLevel="1"/>
    <col customWidth="1" min="194" max="194" width="8.29" outlineLevel="1"/>
    <col customWidth="1" min="195" max="195" width="11.43" outlineLevel="1"/>
    <col customWidth="1" min="196" max="196" width="9.0" outlineLevel="1"/>
    <col customWidth="1" min="197" max="197" width="6.43" outlineLevel="1"/>
    <col customWidth="1" min="198" max="198" width="8.71" outlineLevel="1"/>
    <col customWidth="1" min="199" max="199" width="7.43" outlineLevel="1"/>
    <col customWidth="1" min="200" max="200" width="8.14" outlineLevel="1"/>
    <col customWidth="1" min="201" max="201" width="8.29" outlineLevel="1"/>
    <col customWidth="1" min="202" max="202" width="11.43" outlineLevel="1"/>
    <col customWidth="1" min="203" max="203" width="9.0" outlineLevel="1"/>
    <col customWidth="1" min="204" max="204" width="6.43" outlineLevel="1"/>
    <col customWidth="1" min="205" max="205" width="8.71" outlineLevel="1"/>
    <col customWidth="1" min="206" max="206" width="7.43" outlineLevel="1"/>
    <col customWidth="1" min="207" max="207" width="8.14" outlineLevel="1"/>
    <col customWidth="1" min="208" max="208" width="8.29" outlineLevel="1"/>
    <col customWidth="1" min="209" max="209" width="11.43" outlineLevel="1"/>
    <col customWidth="1" min="210" max="210" width="9.0" outlineLevel="1"/>
    <col customWidth="1" min="211" max="211" width="6.43" outlineLevel="1"/>
    <col customWidth="1" min="212" max="212" width="8.71" outlineLevel="1"/>
    <col customWidth="1" min="213" max="213" width="7.43" outlineLevel="1"/>
    <col customWidth="1" min="214" max="214" width="8.14" outlineLevel="1"/>
    <col customWidth="1" min="215" max="215" width="8.29" outlineLevel="1"/>
    <col customWidth="1" min="216" max="216" width="11.43" outlineLevel="1"/>
    <col customWidth="1" min="217" max="217" width="9.0" outlineLevel="1"/>
    <col customWidth="1" min="218" max="218" width="6.43" outlineLevel="1"/>
    <col customWidth="1" min="219" max="219" width="8.71" outlineLevel="1"/>
    <col customWidth="1" min="220" max="220" width="7.43" outlineLevel="1"/>
    <col customWidth="1" min="221" max="221" width="8.14" outlineLevel="1"/>
    <col customWidth="1" min="222" max="222" width="8.29" outlineLevel="1"/>
    <col customWidth="1" min="223" max="223" width="11.43" outlineLevel="1"/>
    <col customWidth="1" min="224" max="224" width="9.0" outlineLevel="1"/>
    <col customWidth="1" min="225" max="225" width="6.43" outlineLevel="1"/>
    <col customWidth="1" min="226" max="226" width="8.71" outlineLevel="1"/>
    <col customWidth="1" min="227" max="227" width="7.43" outlineLevel="1"/>
    <col customWidth="1" min="228" max="228" width="8.14" outlineLevel="1"/>
    <col customWidth="1" min="229" max="229" width="8.29" outlineLevel="1"/>
    <col customWidth="1" min="230" max="230" width="11.43" outlineLevel="1"/>
    <col customWidth="1" min="231" max="231" width="9.0" outlineLevel="1"/>
    <col customWidth="1" min="232" max="232" width="7.14" outlineLevel="1"/>
    <col customWidth="1" min="233" max="233" width="8.71" outlineLevel="1"/>
    <col customWidth="1" min="234" max="234" width="7.43" outlineLevel="1"/>
    <col customWidth="1" min="235" max="235" width="8.14" outlineLevel="1"/>
    <col customWidth="1" min="236" max="236" width="8.29" outlineLevel="1"/>
    <col customWidth="1" min="237" max="237" width="11.43" outlineLevel="1"/>
    <col customWidth="1" min="238" max="238" width="9.0" outlineLevel="1"/>
    <col customWidth="1" min="239" max="239" width="7.14" outlineLevel="1"/>
    <col customWidth="1" min="240" max="240" width="8.71" outlineLevel="1"/>
    <col customWidth="1" min="241" max="241" width="7.43" outlineLevel="1"/>
    <col customWidth="1" min="242" max="242" width="8.14" outlineLevel="1"/>
    <col customWidth="1" min="243" max="243" width="8.29" outlineLevel="1"/>
    <col customWidth="1" min="244" max="244" width="11.43" outlineLevel="1"/>
    <col customWidth="1" min="245" max="245" width="9.0" outlineLevel="1"/>
    <col customWidth="1" min="246" max="246" width="7.14" outlineLevel="1"/>
    <col customWidth="1" min="247" max="247" width="8.71" outlineLevel="1"/>
    <col customWidth="1" min="248" max="248" width="7.43" outlineLevel="1"/>
    <col customWidth="1" min="249" max="249" width="8.14" outlineLevel="1"/>
    <col customWidth="1" min="250" max="250" width="8.29" outlineLevel="1"/>
    <col customWidth="1" min="251" max="251" width="11.43" outlineLevel="1"/>
    <col customWidth="1" min="252" max="252" width="9.0" outlineLevel="1"/>
    <col customWidth="1" min="253" max="253" width="6.43" outlineLevel="1"/>
    <col customWidth="1" min="254" max="254" width="8.71" outlineLevel="1"/>
    <col customWidth="1" min="255" max="255" width="7.43" outlineLevel="1"/>
    <col customWidth="1" min="256" max="256" width="8.14" outlineLevel="1"/>
    <col customWidth="1" min="257" max="257" width="8.29" outlineLevel="1"/>
    <col customWidth="1" min="258" max="258" width="11.43" outlineLevel="1"/>
    <col customWidth="1" min="259" max="259" width="9.0" outlineLevel="1"/>
    <col customWidth="1" min="260" max="260" width="7.0" outlineLevel="1"/>
    <col customWidth="1" min="261" max="261" width="8.71" outlineLevel="1"/>
    <col customWidth="1" min="262" max="262" width="7.43" outlineLevel="1"/>
    <col customWidth="1" min="263" max="263" width="8.14" outlineLevel="1"/>
    <col customWidth="1" min="264" max="264" width="8.29" outlineLevel="1"/>
    <col customWidth="1" min="265" max="265" width="11.43" outlineLevel="1"/>
    <col customWidth="1" min="266" max="266" width="9.0" outlineLevel="1"/>
    <col customWidth="1" min="267" max="267" width="7.0" outlineLevel="1"/>
    <col customWidth="1" min="268" max="268" width="8.71" outlineLevel="1"/>
    <col customWidth="1" min="269" max="269" width="7.43" outlineLevel="1"/>
    <col customWidth="1" min="270" max="270" width="8.14" outlineLevel="1"/>
    <col customWidth="1" min="271" max="271" width="8.29" outlineLevel="1"/>
    <col customWidth="1" min="272" max="272" width="11.43" outlineLevel="1"/>
    <col customWidth="1" min="273" max="273" width="9.0" outlineLevel="1"/>
    <col customWidth="1" min="274" max="274" width="7.0" outlineLevel="1"/>
    <col customWidth="1" min="275" max="275" width="8.71" outlineLevel="1"/>
    <col customWidth="1" min="276" max="276" width="7.43" outlineLevel="1"/>
    <col customWidth="1" min="277" max="277" width="8.14" outlineLevel="1"/>
    <col customWidth="1" min="278" max="278" width="8.29" outlineLevel="1"/>
    <col customWidth="1" min="279" max="279" width="11.43" outlineLevel="1"/>
    <col customWidth="1" min="280" max="280" width="9.0" outlineLevel="1"/>
    <col customWidth="1" min="281" max="281" width="6.43" outlineLevel="1"/>
    <col customWidth="1" min="282" max="282" width="8.71" outlineLevel="1"/>
    <col customWidth="1" min="283" max="283" width="7.43" outlineLevel="1"/>
    <col customWidth="1" min="284" max="284" width="8.14" outlineLevel="1"/>
    <col customWidth="1" min="285" max="285" width="8.29" outlineLevel="1"/>
    <col customWidth="1" min="286" max="286" width="11.43" outlineLevel="1"/>
    <col customWidth="1" min="287" max="287" width="9.0" outlineLevel="1"/>
    <col customWidth="1" min="288" max="288" width="6.71" outlineLevel="1"/>
    <col customWidth="1" min="289" max="289" width="8.71" outlineLevel="1"/>
    <col customWidth="1" min="290" max="290" width="7.43" outlineLevel="1"/>
    <col customWidth="1" min="291" max="291" width="8.14" outlineLevel="1"/>
    <col customWidth="1" min="292" max="292" width="8.29" outlineLevel="1"/>
    <col customWidth="1" min="293" max="293" width="11.43" outlineLevel="1"/>
    <col customWidth="1" min="294" max="294" width="9.0" outlineLevel="1"/>
    <col customWidth="1" min="295" max="295" width="6.71" outlineLevel="1"/>
    <col customWidth="1" min="296" max="296" width="8.71" outlineLevel="1"/>
    <col customWidth="1" min="297" max="297" width="7.43" outlineLevel="1"/>
    <col customWidth="1" min="298" max="298" width="8.14" outlineLevel="1"/>
    <col customWidth="1" min="299" max="299" width="8.29" outlineLevel="1"/>
    <col customWidth="1" min="300" max="300" width="11.43" outlineLevel="1"/>
    <col customWidth="1" min="301" max="301" width="9.0" outlineLevel="1"/>
    <col customWidth="1" min="302" max="302" width="6.71" outlineLevel="1"/>
    <col customWidth="1" min="303" max="303" width="8.71" outlineLevel="1"/>
    <col customWidth="1" min="304" max="304" width="7.43" outlineLevel="1"/>
    <col customWidth="1" min="305" max="305" width="8.14" outlineLevel="1"/>
    <col customWidth="1" min="306" max="306" width="8.29" outlineLevel="1"/>
    <col customWidth="1" min="307" max="307" width="11.43" outlineLevel="1"/>
    <col customWidth="1" min="308" max="308" width="9.0" outlineLevel="1"/>
    <col customWidth="1" min="309" max="309" width="6.71" outlineLevel="1"/>
    <col customWidth="1" min="310" max="310" width="8.71" outlineLevel="1"/>
    <col customWidth="1" min="311" max="311" width="7.43" outlineLevel="1"/>
    <col customWidth="1" min="312" max="312" width="8.14" outlineLevel="1"/>
    <col customWidth="1" min="313" max="313" width="8.29" outlineLevel="1"/>
    <col customWidth="1" min="314" max="314" width="11.43" outlineLevel="1"/>
    <col customWidth="1" min="315" max="315" width="9.0" outlineLevel="1"/>
    <col customWidth="1" min="316" max="316" width="6.43" outlineLevel="1"/>
    <col customWidth="1" min="317" max="317" width="8.71" outlineLevel="1"/>
    <col customWidth="1" min="318" max="318" width="7.43" outlineLevel="1"/>
    <col customWidth="1" min="319" max="319" width="8.14" outlineLevel="1"/>
    <col customWidth="1" min="320" max="320" width="8.29" outlineLevel="1"/>
    <col customWidth="1" min="321" max="321" width="11.43" outlineLevel="1"/>
    <col customWidth="1" min="322" max="322" width="9.0" outlineLevel="1"/>
    <col customWidth="1" min="323" max="323" width="7.29" outlineLevel="1"/>
    <col customWidth="1" min="324" max="324" width="8.71" outlineLevel="1"/>
    <col customWidth="1" min="325" max="325" width="7.43" outlineLevel="1"/>
    <col customWidth="1" min="326" max="326" width="8.14" outlineLevel="1"/>
    <col customWidth="1" min="327" max="327" width="8.29" outlineLevel="1"/>
    <col customWidth="1" min="328" max="328" width="11.43" outlineLevel="1"/>
    <col customWidth="1" min="329" max="329" width="9.0" outlineLevel="1"/>
    <col customWidth="1" min="330" max="330" width="7.29" outlineLevel="1"/>
    <col customWidth="1" min="331" max="331" width="8.71" outlineLevel="1"/>
    <col customWidth="1" min="332" max="332" width="7.43" outlineLevel="1"/>
    <col customWidth="1" min="333" max="333" width="8.14" outlineLevel="1"/>
    <col customWidth="1" min="334" max="334" width="8.29" outlineLevel="1"/>
    <col customWidth="1" min="335" max="335" width="11.43" outlineLevel="1"/>
    <col customWidth="1" min="336" max="336" width="9.0" outlineLevel="1"/>
    <col customWidth="1" min="337" max="337" width="7.29" outlineLevel="1"/>
    <col customWidth="1" min="338" max="338" width="8.71" outlineLevel="1"/>
    <col customWidth="1" min="339" max="339" width="7.43" outlineLevel="1"/>
    <col customWidth="1" min="340" max="340" width="8.14" outlineLevel="1"/>
    <col customWidth="1" min="341" max="341" width="8.29" outlineLevel="1"/>
    <col customWidth="1" min="342" max="342" width="11.43" outlineLevel="1"/>
    <col customWidth="1" min="343" max="343" width="9.0" outlineLevel="1"/>
    <col customWidth="1" min="344" max="344" width="6.43" outlineLevel="1"/>
    <col customWidth="1" min="345" max="345" width="8.71" outlineLevel="1"/>
    <col customWidth="1" min="346" max="346" width="7.43" outlineLevel="1"/>
    <col customWidth="1" min="347" max="347" width="8.14" outlineLevel="1"/>
    <col customWidth="1" min="348" max="348" width="8.29" outlineLevel="1"/>
    <col customWidth="1" min="349" max="349" width="11.43" outlineLevel="1"/>
    <col customWidth="1" min="350" max="350" width="9.0" outlineLevel="1"/>
    <col customWidth="1" min="351" max="351" width="7.0" outlineLevel="1"/>
    <col customWidth="1" min="352" max="352" width="8.71" outlineLevel="1"/>
    <col customWidth="1" min="353" max="353" width="7.43" outlineLevel="1"/>
    <col customWidth="1" min="354" max="354" width="8.14" outlineLevel="1"/>
    <col customWidth="1" min="355" max="355" width="8.29" outlineLevel="1"/>
    <col customWidth="1" min="356" max="356" width="11.43" outlineLevel="1"/>
    <col customWidth="1" min="357" max="357" width="9.0" outlineLevel="1"/>
    <col customWidth="1" min="358" max="358" width="7.0" outlineLevel="1"/>
    <col customWidth="1" min="359" max="359" width="8.71" outlineLevel="1"/>
    <col customWidth="1" min="360" max="360" width="7.43" outlineLevel="1"/>
    <col customWidth="1" min="361" max="361" width="8.14" outlineLevel="1"/>
    <col customWidth="1" min="362" max="362" width="8.29" outlineLevel="1"/>
    <col customWidth="1" min="363" max="363" width="11.43" outlineLevel="1"/>
    <col customWidth="1" min="364" max="364" width="9.0" outlineLevel="1"/>
    <col customWidth="1" min="365" max="365" width="7.0" outlineLevel="1"/>
    <col customWidth="1" min="366" max="366" width="8.71" outlineLevel="1"/>
    <col customWidth="1" min="367" max="367" width="7.43" outlineLevel="1"/>
    <col customWidth="1" min="368" max="368" width="8.14" outlineLevel="1"/>
    <col customWidth="1" min="369" max="369" width="8.29" outlineLevel="1"/>
    <col customWidth="1" min="370" max="370" width="11.43" outlineLevel="1"/>
    <col customWidth="1" min="371" max="371" width="5.0"/>
    <col customWidth="1" min="372" max="373" width="4.43"/>
  </cols>
  <sheetData>
    <row r="1">
      <c r="E1" s="6">
        <f>TODAY()</f>
        <v>46246</v>
      </c>
      <c r="F1" s="7">
        <v>45658.0</v>
      </c>
      <c r="G1" s="7">
        <v>45659.0</v>
      </c>
      <c r="H1" s="7">
        <v>45660.0</v>
      </c>
      <c r="I1" s="7">
        <v>45661.0</v>
      </c>
      <c r="J1" s="7">
        <v>45662.0</v>
      </c>
      <c r="K1" s="7">
        <v>45663.0</v>
      </c>
      <c r="L1" s="7">
        <v>45664.0</v>
      </c>
      <c r="M1" s="7">
        <v>45665.0</v>
      </c>
      <c r="N1" s="7">
        <v>45666.0</v>
      </c>
      <c r="O1" s="7">
        <v>45667.0</v>
      </c>
      <c r="P1" s="7">
        <v>45668.0</v>
      </c>
      <c r="Q1" s="7">
        <v>45669.0</v>
      </c>
      <c r="R1" s="7">
        <v>45670.0</v>
      </c>
      <c r="S1" s="7">
        <v>45671.0</v>
      </c>
      <c r="T1" s="7">
        <v>45672.0</v>
      </c>
      <c r="U1" s="7">
        <v>45673.0</v>
      </c>
      <c r="V1" s="7">
        <v>45674.0</v>
      </c>
      <c r="W1" s="7">
        <v>45675.0</v>
      </c>
      <c r="X1" s="7">
        <v>45676.0</v>
      </c>
      <c r="Y1" s="7">
        <v>45677.0</v>
      </c>
      <c r="Z1" s="7">
        <v>45678.0</v>
      </c>
      <c r="AA1" s="7">
        <v>45679.0</v>
      </c>
      <c r="AB1" s="7">
        <v>45680.0</v>
      </c>
      <c r="AC1" s="7">
        <v>45681.0</v>
      </c>
      <c r="AD1" s="7">
        <v>45682.0</v>
      </c>
      <c r="AE1" s="7">
        <v>45683.0</v>
      </c>
      <c r="AF1" s="7">
        <v>45684.0</v>
      </c>
      <c r="AG1" s="7">
        <v>45685.0</v>
      </c>
      <c r="AH1" s="7">
        <v>45686.0</v>
      </c>
      <c r="AI1" s="7">
        <v>45687.0</v>
      </c>
      <c r="AJ1" s="7">
        <v>45688.0</v>
      </c>
      <c r="AK1" s="7">
        <v>45689.0</v>
      </c>
      <c r="AL1" s="7">
        <v>45690.0</v>
      </c>
      <c r="AM1" s="7">
        <v>45691.0</v>
      </c>
      <c r="AN1" s="7">
        <v>45692.0</v>
      </c>
      <c r="AO1" s="7">
        <v>45693.0</v>
      </c>
      <c r="AP1" s="7">
        <v>45694.0</v>
      </c>
      <c r="AQ1" s="7">
        <v>45695.0</v>
      </c>
      <c r="AR1" s="7">
        <v>45696.0</v>
      </c>
      <c r="AS1" s="7">
        <v>45697.0</v>
      </c>
      <c r="AT1" s="7">
        <v>45698.0</v>
      </c>
      <c r="AU1" s="7">
        <v>45699.0</v>
      </c>
      <c r="AV1" s="7">
        <v>45700.0</v>
      </c>
      <c r="AW1" s="7">
        <v>45701.0</v>
      </c>
      <c r="AX1" s="7">
        <v>45702.0</v>
      </c>
      <c r="AY1" s="7">
        <v>45703.0</v>
      </c>
      <c r="AZ1" s="7">
        <v>45704.0</v>
      </c>
      <c r="BA1" s="7">
        <v>45705.0</v>
      </c>
      <c r="BB1" s="7">
        <v>45706.0</v>
      </c>
      <c r="BC1" s="7">
        <v>45707.0</v>
      </c>
      <c r="BD1" s="7">
        <v>45708.0</v>
      </c>
      <c r="BE1" s="7">
        <v>45709.0</v>
      </c>
      <c r="BF1" s="7">
        <v>45710.0</v>
      </c>
      <c r="BG1" s="7">
        <v>45711.0</v>
      </c>
      <c r="BH1" s="7">
        <v>45712.0</v>
      </c>
      <c r="BI1" s="7">
        <v>45713.0</v>
      </c>
      <c r="BJ1" s="7">
        <v>45714.0</v>
      </c>
      <c r="BK1" s="7">
        <v>45715.0</v>
      </c>
      <c r="BL1" s="7">
        <v>45716.0</v>
      </c>
      <c r="BM1" s="7">
        <v>45717.0</v>
      </c>
      <c r="BN1" s="7">
        <v>45718.0</v>
      </c>
      <c r="BO1" s="7">
        <v>45719.0</v>
      </c>
      <c r="BP1" s="7">
        <v>45720.0</v>
      </c>
      <c r="BQ1" s="7">
        <v>45721.0</v>
      </c>
      <c r="BR1" s="7">
        <v>45722.0</v>
      </c>
      <c r="BS1" s="7">
        <v>45723.0</v>
      </c>
      <c r="BT1" s="7">
        <v>45724.0</v>
      </c>
      <c r="BU1" s="7">
        <v>45725.0</v>
      </c>
      <c r="BV1" s="7">
        <v>45726.0</v>
      </c>
      <c r="BW1" s="7">
        <v>45727.0</v>
      </c>
      <c r="BX1" s="7">
        <v>45728.0</v>
      </c>
      <c r="BY1" s="7">
        <v>45729.0</v>
      </c>
      <c r="BZ1" s="7">
        <v>45730.0</v>
      </c>
      <c r="CA1" s="7">
        <v>45731.0</v>
      </c>
      <c r="CB1" s="7">
        <v>45732.0</v>
      </c>
      <c r="CC1" s="7">
        <v>45733.0</v>
      </c>
      <c r="CD1" s="7">
        <v>45734.0</v>
      </c>
      <c r="CE1" s="7">
        <v>45735.0</v>
      </c>
      <c r="CF1" s="7">
        <v>45736.0</v>
      </c>
      <c r="CG1" s="7">
        <v>45737.0</v>
      </c>
      <c r="CH1" s="7">
        <v>45738.0</v>
      </c>
      <c r="CI1" s="7">
        <v>45739.0</v>
      </c>
      <c r="CJ1" s="7">
        <v>45740.0</v>
      </c>
      <c r="CK1" s="7">
        <v>45741.0</v>
      </c>
      <c r="CL1" s="7">
        <v>45742.0</v>
      </c>
      <c r="CM1" s="7">
        <v>45743.0</v>
      </c>
      <c r="CN1" s="7">
        <v>45744.0</v>
      </c>
      <c r="CO1" s="7">
        <v>45745.0</v>
      </c>
      <c r="CP1" s="7">
        <v>45746.0</v>
      </c>
      <c r="CQ1" s="7">
        <v>45747.0</v>
      </c>
      <c r="CR1" s="7">
        <v>45748.0</v>
      </c>
      <c r="CS1" s="7">
        <v>45749.0</v>
      </c>
      <c r="CT1" s="7">
        <v>45750.0</v>
      </c>
      <c r="CU1" s="7">
        <v>45751.0</v>
      </c>
      <c r="CV1" s="7">
        <v>45752.0</v>
      </c>
      <c r="CW1" s="7">
        <v>45753.0</v>
      </c>
      <c r="CX1" s="7">
        <v>45754.0</v>
      </c>
      <c r="CY1" s="7">
        <v>45755.0</v>
      </c>
      <c r="CZ1" s="7">
        <v>45756.0</v>
      </c>
      <c r="DA1" s="7">
        <v>45757.0</v>
      </c>
      <c r="DB1" s="7">
        <v>45758.0</v>
      </c>
      <c r="DC1" s="7">
        <v>45759.0</v>
      </c>
      <c r="DD1" s="7">
        <v>45760.0</v>
      </c>
      <c r="DE1" s="7">
        <v>45761.0</v>
      </c>
      <c r="DF1" s="7">
        <v>45762.0</v>
      </c>
      <c r="DG1" s="7">
        <v>45763.0</v>
      </c>
      <c r="DH1" s="7">
        <v>45764.0</v>
      </c>
      <c r="DI1" s="7">
        <v>45765.0</v>
      </c>
      <c r="DJ1" s="7">
        <v>45766.0</v>
      </c>
      <c r="DK1" s="7">
        <v>45767.0</v>
      </c>
      <c r="DL1" s="7">
        <v>45768.0</v>
      </c>
      <c r="DM1" s="7">
        <v>45769.0</v>
      </c>
      <c r="DN1" s="7">
        <v>45770.0</v>
      </c>
      <c r="DO1" s="7">
        <v>45771.0</v>
      </c>
      <c r="DP1" s="7">
        <v>45772.0</v>
      </c>
      <c r="DQ1" s="7">
        <v>45773.0</v>
      </c>
      <c r="DR1" s="7">
        <v>45774.0</v>
      </c>
      <c r="DS1" s="7">
        <v>45775.0</v>
      </c>
      <c r="DT1" s="7">
        <v>45776.0</v>
      </c>
      <c r="DU1" s="7">
        <v>45777.0</v>
      </c>
      <c r="DV1" s="7">
        <v>45778.0</v>
      </c>
      <c r="DW1" s="7">
        <v>45779.0</v>
      </c>
      <c r="DX1" s="7">
        <v>45780.0</v>
      </c>
      <c r="DY1" s="7">
        <v>45781.0</v>
      </c>
      <c r="DZ1" s="7">
        <v>45782.0</v>
      </c>
      <c r="EA1" s="7">
        <v>45783.0</v>
      </c>
      <c r="EB1" s="7">
        <v>45784.0</v>
      </c>
      <c r="EC1" s="7">
        <v>45785.0</v>
      </c>
      <c r="ED1" s="7">
        <v>45786.0</v>
      </c>
      <c r="EE1" s="7">
        <v>45787.0</v>
      </c>
      <c r="EF1" s="7">
        <v>45788.0</v>
      </c>
      <c r="EG1" s="7">
        <v>45789.0</v>
      </c>
      <c r="EH1" s="7">
        <v>45790.0</v>
      </c>
      <c r="EI1" s="7">
        <v>45791.0</v>
      </c>
      <c r="EJ1" s="7">
        <v>45792.0</v>
      </c>
      <c r="EK1" s="7">
        <v>45793.0</v>
      </c>
      <c r="EL1" s="7">
        <v>45794.0</v>
      </c>
      <c r="EM1" s="7">
        <v>45795.0</v>
      </c>
      <c r="EN1" s="7">
        <v>45796.0</v>
      </c>
      <c r="EO1" s="7">
        <v>45797.0</v>
      </c>
      <c r="EP1" s="7">
        <v>45798.0</v>
      </c>
      <c r="EQ1" s="7">
        <v>45799.0</v>
      </c>
      <c r="ER1" s="7">
        <v>45800.0</v>
      </c>
      <c r="ES1" s="7">
        <v>45801.0</v>
      </c>
      <c r="ET1" s="7">
        <v>45802.0</v>
      </c>
      <c r="EU1" s="7">
        <v>45803.0</v>
      </c>
      <c r="EV1" s="7">
        <v>45804.0</v>
      </c>
      <c r="EW1" s="7">
        <v>45805.0</v>
      </c>
      <c r="EX1" s="7">
        <v>45806.0</v>
      </c>
      <c r="EY1" s="7">
        <v>45807.0</v>
      </c>
      <c r="EZ1" s="7">
        <v>45808.0</v>
      </c>
      <c r="FA1" s="7">
        <v>45809.0</v>
      </c>
      <c r="FB1" s="7">
        <v>45810.0</v>
      </c>
      <c r="FC1" s="7">
        <v>45811.0</v>
      </c>
      <c r="FD1" s="7">
        <v>45812.0</v>
      </c>
      <c r="FE1" s="7">
        <v>45813.0</v>
      </c>
      <c r="FF1" s="7">
        <v>45814.0</v>
      </c>
      <c r="FG1" s="7">
        <v>45815.0</v>
      </c>
      <c r="FH1" s="7">
        <v>45816.0</v>
      </c>
      <c r="FI1" s="7">
        <v>45817.0</v>
      </c>
      <c r="FJ1" s="7">
        <v>45818.0</v>
      </c>
      <c r="FK1" s="7">
        <v>45819.0</v>
      </c>
      <c r="FL1" s="7">
        <v>45820.0</v>
      </c>
      <c r="FM1" s="7">
        <v>45821.0</v>
      </c>
      <c r="FN1" s="7">
        <v>45822.0</v>
      </c>
      <c r="FO1" s="7">
        <v>45823.0</v>
      </c>
      <c r="FP1" s="7">
        <v>45824.0</v>
      </c>
      <c r="FQ1" s="7">
        <v>45825.0</v>
      </c>
      <c r="FR1" s="7">
        <v>45826.0</v>
      </c>
      <c r="FS1" s="7">
        <v>45827.0</v>
      </c>
      <c r="FT1" s="7">
        <v>45828.0</v>
      </c>
      <c r="FU1" s="7">
        <v>45829.0</v>
      </c>
      <c r="FV1" s="7">
        <v>45830.0</v>
      </c>
      <c r="FW1" s="7">
        <v>45831.0</v>
      </c>
      <c r="FX1" s="7">
        <v>45832.0</v>
      </c>
      <c r="FY1" s="7">
        <v>45833.0</v>
      </c>
      <c r="FZ1" s="7">
        <v>45834.0</v>
      </c>
      <c r="GA1" s="7">
        <v>45835.0</v>
      </c>
      <c r="GB1" s="7">
        <v>45836.0</v>
      </c>
      <c r="GC1" s="7">
        <v>45837.0</v>
      </c>
      <c r="GD1" s="7">
        <v>45838.0</v>
      </c>
      <c r="GE1" s="7">
        <v>45839.0</v>
      </c>
      <c r="GF1" s="7">
        <v>45840.0</v>
      </c>
      <c r="GG1" s="7">
        <v>45841.0</v>
      </c>
      <c r="GH1" s="7">
        <v>45842.0</v>
      </c>
      <c r="GI1" s="7">
        <v>45843.0</v>
      </c>
      <c r="GJ1" s="7">
        <v>45844.0</v>
      </c>
      <c r="GK1" s="7">
        <v>45845.0</v>
      </c>
      <c r="GL1" s="7">
        <v>45846.0</v>
      </c>
      <c r="GM1" s="7">
        <v>45847.0</v>
      </c>
      <c r="GN1" s="7">
        <v>45848.0</v>
      </c>
      <c r="GO1" s="7">
        <v>45849.0</v>
      </c>
      <c r="GP1" s="7">
        <v>45850.0</v>
      </c>
      <c r="GQ1" s="7">
        <v>45851.0</v>
      </c>
      <c r="GR1" s="7">
        <v>45852.0</v>
      </c>
      <c r="GS1" s="7">
        <v>45853.0</v>
      </c>
      <c r="GT1" s="7">
        <v>45854.0</v>
      </c>
      <c r="GU1" s="7">
        <v>45855.0</v>
      </c>
      <c r="GV1" s="7">
        <v>45856.0</v>
      </c>
      <c r="GW1" s="7">
        <v>45857.0</v>
      </c>
      <c r="GX1" s="7">
        <v>45858.0</v>
      </c>
      <c r="GY1" s="7">
        <v>45859.0</v>
      </c>
      <c r="GZ1" s="7">
        <v>45860.0</v>
      </c>
      <c r="HA1" s="7">
        <v>45861.0</v>
      </c>
      <c r="HB1" s="7">
        <v>45862.0</v>
      </c>
      <c r="HC1" s="7">
        <v>45863.0</v>
      </c>
      <c r="HD1" s="7">
        <v>45864.0</v>
      </c>
      <c r="HE1" s="7">
        <v>45865.0</v>
      </c>
      <c r="HF1" s="7">
        <v>45866.0</v>
      </c>
      <c r="HG1" s="7">
        <v>45867.0</v>
      </c>
      <c r="HH1" s="7">
        <v>45868.0</v>
      </c>
      <c r="HI1" s="7">
        <v>45869.0</v>
      </c>
      <c r="HJ1" s="7">
        <v>45870.0</v>
      </c>
      <c r="HK1" s="7">
        <v>45871.0</v>
      </c>
      <c r="HL1" s="7">
        <v>45872.0</v>
      </c>
      <c r="HM1" s="7">
        <v>45873.0</v>
      </c>
      <c r="HN1" s="7">
        <v>45874.0</v>
      </c>
      <c r="HO1" s="7">
        <v>45875.0</v>
      </c>
      <c r="HP1" s="7">
        <v>45876.0</v>
      </c>
      <c r="HQ1" s="7">
        <v>45877.0</v>
      </c>
      <c r="HR1" s="7">
        <v>45878.0</v>
      </c>
      <c r="HS1" s="7">
        <v>45879.0</v>
      </c>
      <c r="HT1" s="7">
        <v>45880.0</v>
      </c>
      <c r="HU1" s="7">
        <v>45881.0</v>
      </c>
      <c r="HV1" s="7">
        <v>45882.0</v>
      </c>
      <c r="HW1" s="7">
        <v>45883.0</v>
      </c>
      <c r="HX1" s="7">
        <v>45884.0</v>
      </c>
      <c r="HY1" s="7">
        <v>45885.0</v>
      </c>
      <c r="HZ1" s="7">
        <v>45886.0</v>
      </c>
      <c r="IA1" s="7">
        <v>45887.0</v>
      </c>
      <c r="IB1" s="7">
        <v>45888.0</v>
      </c>
      <c r="IC1" s="7">
        <v>45889.0</v>
      </c>
      <c r="ID1" s="7">
        <v>45890.0</v>
      </c>
      <c r="IE1" s="7">
        <v>45891.0</v>
      </c>
      <c r="IF1" s="7">
        <v>45892.0</v>
      </c>
      <c r="IG1" s="7">
        <v>45893.0</v>
      </c>
      <c r="IH1" s="7">
        <v>45894.0</v>
      </c>
      <c r="II1" s="7">
        <v>45895.0</v>
      </c>
      <c r="IJ1" s="7">
        <v>45896.0</v>
      </c>
      <c r="IK1" s="7">
        <v>45897.0</v>
      </c>
      <c r="IL1" s="7">
        <v>45898.0</v>
      </c>
      <c r="IM1" s="7">
        <v>45899.0</v>
      </c>
      <c r="IN1" s="7">
        <v>45900.0</v>
      </c>
      <c r="IO1" s="7">
        <v>45901.0</v>
      </c>
      <c r="IP1" s="7">
        <v>45902.0</v>
      </c>
      <c r="IQ1" s="7">
        <v>45903.0</v>
      </c>
      <c r="IR1" s="7">
        <v>45904.0</v>
      </c>
      <c r="IS1" s="7">
        <v>45905.0</v>
      </c>
      <c r="IT1" s="7">
        <v>45906.0</v>
      </c>
      <c r="IU1" s="7">
        <v>45907.0</v>
      </c>
      <c r="IV1" s="7">
        <v>45908.0</v>
      </c>
      <c r="IW1" s="7">
        <v>45909.0</v>
      </c>
      <c r="IX1" s="7">
        <v>45910.0</v>
      </c>
      <c r="IY1" s="7">
        <v>45911.0</v>
      </c>
      <c r="IZ1" s="7">
        <v>45912.0</v>
      </c>
      <c r="JA1" s="7">
        <v>45913.0</v>
      </c>
      <c r="JB1" s="7">
        <v>45914.0</v>
      </c>
      <c r="JC1" s="7">
        <v>45915.0</v>
      </c>
      <c r="JD1" s="7">
        <v>45916.0</v>
      </c>
      <c r="JE1" s="7">
        <v>45917.0</v>
      </c>
      <c r="JF1" s="7">
        <v>45918.0</v>
      </c>
      <c r="JG1" s="7">
        <v>45919.0</v>
      </c>
      <c r="JH1" s="7">
        <v>45920.0</v>
      </c>
      <c r="JI1" s="7">
        <v>45921.0</v>
      </c>
      <c r="JJ1" s="7">
        <v>45922.0</v>
      </c>
      <c r="JK1" s="7">
        <v>45923.0</v>
      </c>
      <c r="JL1" s="7">
        <v>45924.0</v>
      </c>
      <c r="JM1" s="7">
        <v>45925.0</v>
      </c>
      <c r="JN1" s="7">
        <v>45926.0</v>
      </c>
      <c r="JO1" s="7">
        <v>45927.0</v>
      </c>
      <c r="JP1" s="7">
        <v>45928.0</v>
      </c>
      <c r="JQ1" s="7">
        <v>45929.0</v>
      </c>
      <c r="JR1" s="7">
        <v>45930.0</v>
      </c>
      <c r="JS1" s="7">
        <v>45931.0</v>
      </c>
      <c r="JT1" s="7">
        <v>45932.0</v>
      </c>
      <c r="JU1" s="7">
        <v>45933.0</v>
      </c>
      <c r="JV1" s="7">
        <v>45934.0</v>
      </c>
      <c r="JW1" s="7">
        <v>45935.0</v>
      </c>
      <c r="JX1" s="7">
        <v>45936.0</v>
      </c>
      <c r="JY1" s="7">
        <v>45937.0</v>
      </c>
      <c r="JZ1" s="7">
        <v>45938.0</v>
      </c>
      <c r="KA1" s="7">
        <v>45939.0</v>
      </c>
      <c r="KB1" s="7">
        <v>45940.0</v>
      </c>
      <c r="KC1" s="7">
        <v>45941.0</v>
      </c>
      <c r="KD1" s="7">
        <v>45942.0</v>
      </c>
      <c r="KE1" s="7">
        <v>45943.0</v>
      </c>
      <c r="KF1" s="7">
        <v>45944.0</v>
      </c>
      <c r="KG1" s="7">
        <v>45945.0</v>
      </c>
      <c r="KH1" s="7">
        <v>45946.0</v>
      </c>
      <c r="KI1" s="7">
        <v>45947.0</v>
      </c>
      <c r="KJ1" s="7">
        <v>45948.0</v>
      </c>
      <c r="KK1" s="7">
        <v>45949.0</v>
      </c>
      <c r="KL1" s="7">
        <v>45950.0</v>
      </c>
      <c r="KM1" s="7">
        <v>45951.0</v>
      </c>
      <c r="KN1" s="7">
        <v>45952.0</v>
      </c>
      <c r="KO1" s="7">
        <v>45953.0</v>
      </c>
      <c r="KP1" s="7">
        <v>45954.0</v>
      </c>
      <c r="KQ1" s="7">
        <v>45955.0</v>
      </c>
      <c r="KR1" s="7">
        <v>45956.0</v>
      </c>
      <c r="KS1" s="7">
        <v>45957.0</v>
      </c>
      <c r="KT1" s="7">
        <v>45958.0</v>
      </c>
      <c r="KU1" s="7">
        <v>45959.0</v>
      </c>
      <c r="KV1" s="7">
        <v>45960.0</v>
      </c>
      <c r="KW1" s="7">
        <v>45961.0</v>
      </c>
      <c r="KX1" s="7">
        <v>45962.0</v>
      </c>
      <c r="KY1" s="7">
        <v>45963.0</v>
      </c>
      <c r="KZ1" s="7">
        <v>45964.0</v>
      </c>
      <c r="LA1" s="7">
        <v>45965.0</v>
      </c>
      <c r="LB1" s="7">
        <v>45966.0</v>
      </c>
      <c r="LC1" s="7">
        <v>45967.0</v>
      </c>
      <c r="LD1" s="7">
        <v>45968.0</v>
      </c>
      <c r="LE1" s="7">
        <v>45969.0</v>
      </c>
      <c r="LF1" s="7">
        <v>45970.0</v>
      </c>
      <c r="LG1" s="7">
        <v>45971.0</v>
      </c>
      <c r="LH1" s="7">
        <v>45972.0</v>
      </c>
      <c r="LI1" s="7">
        <v>45973.0</v>
      </c>
      <c r="LJ1" s="7">
        <v>45974.0</v>
      </c>
      <c r="LK1" s="7">
        <v>45975.0</v>
      </c>
      <c r="LL1" s="7">
        <v>45976.0</v>
      </c>
      <c r="LM1" s="7">
        <v>45977.0</v>
      </c>
      <c r="LN1" s="7">
        <v>45978.0</v>
      </c>
      <c r="LO1" s="7">
        <v>45979.0</v>
      </c>
      <c r="LP1" s="7">
        <v>45980.0</v>
      </c>
      <c r="LQ1" s="7">
        <v>45981.0</v>
      </c>
      <c r="LR1" s="7">
        <v>45982.0</v>
      </c>
      <c r="LS1" s="7">
        <v>45983.0</v>
      </c>
      <c r="LT1" s="7">
        <v>45984.0</v>
      </c>
      <c r="LU1" s="7">
        <v>45985.0</v>
      </c>
      <c r="LV1" s="7">
        <v>45986.0</v>
      </c>
      <c r="LW1" s="7">
        <v>45987.0</v>
      </c>
      <c r="LX1" s="7">
        <v>45988.0</v>
      </c>
      <c r="LY1" s="7">
        <v>45989.0</v>
      </c>
      <c r="LZ1" s="7">
        <v>45990.0</v>
      </c>
      <c r="MA1" s="7">
        <v>45991.0</v>
      </c>
      <c r="MB1" s="7">
        <v>45992.0</v>
      </c>
      <c r="MC1" s="7">
        <v>45993.0</v>
      </c>
      <c r="MD1" s="7">
        <v>45994.0</v>
      </c>
      <c r="ME1" s="7">
        <v>45995.0</v>
      </c>
      <c r="MF1" s="7">
        <v>45996.0</v>
      </c>
      <c r="MG1" s="7">
        <v>45997.0</v>
      </c>
      <c r="MH1" s="7">
        <v>45998.0</v>
      </c>
      <c r="MI1" s="7">
        <v>45999.0</v>
      </c>
      <c r="MJ1" s="7">
        <v>46000.0</v>
      </c>
      <c r="MK1" s="7">
        <v>46001.0</v>
      </c>
      <c r="ML1" s="7">
        <v>46002.0</v>
      </c>
      <c r="MM1" s="7">
        <v>46003.0</v>
      </c>
      <c r="MN1" s="7">
        <v>46004.0</v>
      </c>
      <c r="MO1" s="7">
        <v>46005.0</v>
      </c>
      <c r="MP1" s="7">
        <v>46006.0</v>
      </c>
      <c r="MQ1" s="7">
        <v>46007.0</v>
      </c>
      <c r="MR1" s="7">
        <v>46008.0</v>
      </c>
      <c r="MS1" s="7">
        <v>46009.0</v>
      </c>
      <c r="MT1" s="7">
        <v>46010.0</v>
      </c>
      <c r="MU1" s="7">
        <v>46011.0</v>
      </c>
      <c r="MV1" s="7">
        <v>46012.0</v>
      </c>
      <c r="MW1" s="7">
        <v>46013.0</v>
      </c>
      <c r="MX1" s="7">
        <v>46014.0</v>
      </c>
      <c r="MY1" s="7">
        <v>46015.0</v>
      </c>
      <c r="MZ1" s="7">
        <v>46016.0</v>
      </c>
      <c r="NA1" s="7">
        <v>46017.0</v>
      </c>
      <c r="NB1" s="7">
        <v>46018.0</v>
      </c>
      <c r="NC1" s="7">
        <v>46019.0</v>
      </c>
      <c r="ND1" s="7">
        <v>46020.0</v>
      </c>
      <c r="NE1" s="7">
        <v>46021.0</v>
      </c>
      <c r="NF1" s="7">
        <v>46022.0</v>
      </c>
      <c r="NG1" s="11" t="s">
        <v>66</v>
      </c>
      <c r="NH1" s="11" t="s">
        <v>67</v>
      </c>
      <c r="NI1" s="11" t="s">
        <v>62</v>
      </c>
    </row>
    <row r="2">
      <c r="A2" s="1" t="str">
        <f>'0_Key'!A1</f>
        <v>Priority</v>
      </c>
      <c r="B2" s="3" t="str">
        <f>'0_Key'!B1</f>
        <v>Type</v>
      </c>
      <c r="C2" s="3" t="str">
        <f>'0_Key'!D1</f>
        <v>Frequency</v>
      </c>
      <c r="D2" s="3" t="str">
        <f>'0_Key'!E1</f>
        <v>Day</v>
      </c>
      <c r="E2" s="3" t="s">
        <v>68</v>
      </c>
      <c r="F2" s="12">
        <v>45658.0</v>
      </c>
      <c r="G2" s="12">
        <v>45659.0</v>
      </c>
      <c r="H2" s="12">
        <v>45660.0</v>
      </c>
      <c r="I2" s="12">
        <v>45661.0</v>
      </c>
      <c r="J2" s="12">
        <v>45662.0</v>
      </c>
      <c r="K2" s="12">
        <v>45663.0</v>
      </c>
      <c r="L2" s="12">
        <v>45664.0</v>
      </c>
      <c r="M2" s="12">
        <v>45665.0</v>
      </c>
      <c r="N2" s="12">
        <v>45666.0</v>
      </c>
      <c r="O2" s="12">
        <v>45667.0</v>
      </c>
      <c r="P2" s="12">
        <v>45668.0</v>
      </c>
      <c r="Q2" s="12">
        <v>45669.0</v>
      </c>
      <c r="R2" s="12">
        <v>45670.0</v>
      </c>
      <c r="S2" s="12">
        <v>45671.0</v>
      </c>
      <c r="T2" s="12">
        <v>45672.0</v>
      </c>
      <c r="U2" s="12">
        <v>45673.0</v>
      </c>
      <c r="V2" s="12">
        <v>45674.0</v>
      </c>
      <c r="W2" s="12">
        <v>45675.0</v>
      </c>
      <c r="X2" s="12">
        <v>45676.0</v>
      </c>
      <c r="Y2" s="12">
        <v>45677.0</v>
      </c>
      <c r="Z2" s="12">
        <v>45678.0</v>
      </c>
      <c r="AA2" s="12">
        <v>45679.0</v>
      </c>
      <c r="AB2" s="12">
        <v>45680.0</v>
      </c>
      <c r="AC2" s="12">
        <v>45681.0</v>
      </c>
      <c r="AD2" s="12">
        <v>45682.0</v>
      </c>
      <c r="AE2" s="12">
        <v>45683.0</v>
      </c>
      <c r="AF2" s="12">
        <v>45684.0</v>
      </c>
      <c r="AG2" s="12">
        <v>45685.0</v>
      </c>
      <c r="AH2" s="12">
        <v>45686.0</v>
      </c>
      <c r="AI2" s="12">
        <v>45687.0</v>
      </c>
      <c r="AJ2" s="12">
        <v>45688.0</v>
      </c>
      <c r="AK2" s="12">
        <v>45689.0</v>
      </c>
      <c r="AL2" s="12">
        <v>45690.0</v>
      </c>
      <c r="AM2" s="12">
        <v>45691.0</v>
      </c>
      <c r="AN2" s="12">
        <v>45692.0</v>
      </c>
      <c r="AO2" s="12">
        <v>45693.0</v>
      </c>
      <c r="AP2" s="12">
        <v>45694.0</v>
      </c>
      <c r="AQ2" s="12">
        <v>45695.0</v>
      </c>
      <c r="AR2" s="12">
        <v>45696.0</v>
      </c>
      <c r="AS2" s="12">
        <v>45697.0</v>
      </c>
      <c r="AT2" s="12">
        <v>45698.0</v>
      </c>
      <c r="AU2" s="12">
        <v>45699.0</v>
      </c>
      <c r="AV2" s="12">
        <v>45700.0</v>
      </c>
      <c r="AW2" s="12">
        <v>45701.0</v>
      </c>
      <c r="AX2" s="12">
        <v>45702.0</v>
      </c>
      <c r="AY2" s="12">
        <v>45703.0</v>
      </c>
      <c r="AZ2" s="12">
        <v>45704.0</v>
      </c>
      <c r="BA2" s="12">
        <v>45705.0</v>
      </c>
      <c r="BB2" s="12">
        <v>45706.0</v>
      </c>
      <c r="BC2" s="12">
        <v>45707.0</v>
      </c>
      <c r="BD2" s="12">
        <v>45708.0</v>
      </c>
      <c r="BE2" s="12">
        <v>45709.0</v>
      </c>
      <c r="BF2" s="12">
        <v>45710.0</v>
      </c>
      <c r="BG2" s="12">
        <v>45711.0</v>
      </c>
      <c r="BH2" s="12">
        <v>45712.0</v>
      </c>
      <c r="BI2" s="12">
        <v>45713.0</v>
      </c>
      <c r="BJ2" s="12">
        <v>45714.0</v>
      </c>
      <c r="BK2" s="12">
        <v>45715.0</v>
      </c>
      <c r="BL2" s="12">
        <v>45716.0</v>
      </c>
      <c r="BM2" s="12">
        <v>45717.0</v>
      </c>
      <c r="BN2" s="12">
        <v>45718.0</v>
      </c>
      <c r="BO2" s="12">
        <v>45719.0</v>
      </c>
      <c r="BP2" s="12">
        <v>45720.0</v>
      </c>
      <c r="BQ2" s="12">
        <v>45721.0</v>
      </c>
      <c r="BR2" s="12">
        <v>45722.0</v>
      </c>
      <c r="BS2" s="12">
        <v>45723.0</v>
      </c>
      <c r="BT2" s="12">
        <v>45724.0</v>
      </c>
      <c r="BU2" s="12">
        <v>45725.0</v>
      </c>
      <c r="BV2" s="12">
        <v>45726.0</v>
      </c>
      <c r="BW2" s="12">
        <v>45727.0</v>
      </c>
      <c r="BX2" s="12">
        <v>45728.0</v>
      </c>
      <c r="BY2" s="12">
        <v>45729.0</v>
      </c>
      <c r="BZ2" s="12">
        <v>45730.0</v>
      </c>
      <c r="CA2" s="12">
        <v>45731.0</v>
      </c>
      <c r="CB2" s="12">
        <v>45732.0</v>
      </c>
      <c r="CC2" s="12">
        <v>45733.0</v>
      </c>
      <c r="CD2" s="12">
        <v>45734.0</v>
      </c>
      <c r="CE2" s="12">
        <v>45735.0</v>
      </c>
      <c r="CF2" s="12">
        <v>45736.0</v>
      </c>
      <c r="CG2" s="12">
        <v>45737.0</v>
      </c>
      <c r="CH2" s="12">
        <v>45738.0</v>
      </c>
      <c r="CI2" s="12">
        <v>45739.0</v>
      </c>
      <c r="CJ2" s="12">
        <v>45740.0</v>
      </c>
      <c r="CK2" s="12">
        <v>45741.0</v>
      </c>
      <c r="CL2" s="12">
        <v>45742.0</v>
      </c>
      <c r="CM2" s="12">
        <v>45743.0</v>
      </c>
      <c r="CN2" s="12">
        <v>45744.0</v>
      </c>
      <c r="CO2" s="12">
        <v>45745.0</v>
      </c>
      <c r="CP2" s="12">
        <v>45746.0</v>
      </c>
      <c r="CQ2" s="12">
        <v>45747.0</v>
      </c>
      <c r="CR2" s="12">
        <v>45748.0</v>
      </c>
      <c r="CS2" s="12">
        <v>45749.0</v>
      </c>
      <c r="CT2" s="12">
        <v>45750.0</v>
      </c>
      <c r="CU2" s="12">
        <v>45751.0</v>
      </c>
      <c r="CV2" s="12">
        <v>45752.0</v>
      </c>
      <c r="CW2" s="12">
        <v>45753.0</v>
      </c>
      <c r="CX2" s="12">
        <v>45754.0</v>
      </c>
      <c r="CY2" s="12">
        <v>45755.0</v>
      </c>
      <c r="CZ2" s="12">
        <v>45756.0</v>
      </c>
      <c r="DA2" s="12">
        <v>45757.0</v>
      </c>
      <c r="DB2" s="12">
        <v>45758.0</v>
      </c>
      <c r="DC2" s="12">
        <v>45759.0</v>
      </c>
      <c r="DD2" s="12">
        <v>45760.0</v>
      </c>
      <c r="DE2" s="12">
        <v>45761.0</v>
      </c>
      <c r="DF2" s="12">
        <v>45762.0</v>
      </c>
      <c r="DG2" s="12">
        <v>45763.0</v>
      </c>
      <c r="DH2" s="12">
        <v>45764.0</v>
      </c>
      <c r="DI2" s="12">
        <v>45765.0</v>
      </c>
      <c r="DJ2" s="12">
        <v>45766.0</v>
      </c>
      <c r="DK2" s="12">
        <v>45767.0</v>
      </c>
      <c r="DL2" s="12">
        <v>45768.0</v>
      </c>
      <c r="DM2" s="12">
        <v>45769.0</v>
      </c>
      <c r="DN2" s="12">
        <v>45770.0</v>
      </c>
      <c r="DO2" s="12">
        <v>45771.0</v>
      </c>
      <c r="DP2" s="12">
        <v>45772.0</v>
      </c>
      <c r="DQ2" s="12">
        <v>45773.0</v>
      </c>
      <c r="DR2" s="12">
        <v>45774.0</v>
      </c>
      <c r="DS2" s="12">
        <v>45775.0</v>
      </c>
      <c r="DT2" s="12">
        <v>45776.0</v>
      </c>
      <c r="DU2" s="12">
        <v>45777.0</v>
      </c>
      <c r="DV2" s="12">
        <v>45778.0</v>
      </c>
      <c r="DW2" s="12">
        <v>45779.0</v>
      </c>
      <c r="DX2" s="12">
        <v>45780.0</v>
      </c>
      <c r="DY2" s="12">
        <v>45781.0</v>
      </c>
      <c r="DZ2" s="12">
        <v>45782.0</v>
      </c>
      <c r="EA2" s="12">
        <v>45783.0</v>
      </c>
      <c r="EB2" s="12">
        <v>45784.0</v>
      </c>
      <c r="EC2" s="12">
        <v>45785.0</v>
      </c>
      <c r="ED2" s="12">
        <v>45786.0</v>
      </c>
      <c r="EE2" s="12">
        <v>45787.0</v>
      </c>
      <c r="EF2" s="12">
        <v>45788.0</v>
      </c>
      <c r="EG2" s="12">
        <v>45789.0</v>
      </c>
      <c r="EH2" s="12">
        <v>45790.0</v>
      </c>
      <c r="EI2" s="12">
        <v>45791.0</v>
      </c>
      <c r="EJ2" s="12">
        <v>45792.0</v>
      </c>
      <c r="EK2" s="12">
        <v>45793.0</v>
      </c>
      <c r="EL2" s="12">
        <v>45794.0</v>
      </c>
      <c r="EM2" s="12">
        <v>45795.0</v>
      </c>
      <c r="EN2" s="12">
        <v>45796.0</v>
      </c>
      <c r="EO2" s="12">
        <v>45797.0</v>
      </c>
      <c r="EP2" s="12">
        <v>45798.0</v>
      </c>
      <c r="EQ2" s="12">
        <v>45799.0</v>
      </c>
      <c r="ER2" s="12">
        <v>45800.0</v>
      </c>
      <c r="ES2" s="12">
        <v>45801.0</v>
      </c>
      <c r="ET2" s="12">
        <v>45802.0</v>
      </c>
      <c r="EU2" s="12">
        <v>45803.0</v>
      </c>
      <c r="EV2" s="12">
        <v>45804.0</v>
      </c>
      <c r="EW2" s="12">
        <v>45805.0</v>
      </c>
      <c r="EX2" s="12">
        <v>45806.0</v>
      </c>
      <c r="EY2" s="12">
        <v>45807.0</v>
      </c>
      <c r="EZ2" s="12">
        <v>45808.0</v>
      </c>
      <c r="FA2" s="12">
        <v>45809.0</v>
      </c>
      <c r="FB2" s="12">
        <v>45810.0</v>
      </c>
      <c r="FC2" s="12">
        <v>45811.0</v>
      </c>
      <c r="FD2" s="12">
        <v>45812.0</v>
      </c>
      <c r="FE2" s="12">
        <v>45813.0</v>
      </c>
      <c r="FF2" s="12">
        <v>45814.0</v>
      </c>
      <c r="FG2" s="12">
        <v>45815.0</v>
      </c>
      <c r="FH2" s="12">
        <v>45816.0</v>
      </c>
      <c r="FI2" s="12">
        <v>45817.0</v>
      </c>
      <c r="FJ2" s="12">
        <v>45818.0</v>
      </c>
      <c r="FK2" s="12">
        <v>45819.0</v>
      </c>
      <c r="FL2" s="12">
        <v>45820.0</v>
      </c>
      <c r="FM2" s="12">
        <v>45821.0</v>
      </c>
      <c r="FN2" s="12">
        <v>45822.0</v>
      </c>
      <c r="FO2" s="12">
        <v>45823.0</v>
      </c>
      <c r="FP2" s="12">
        <v>45824.0</v>
      </c>
      <c r="FQ2" s="12">
        <v>45825.0</v>
      </c>
      <c r="FR2" s="12">
        <v>45826.0</v>
      </c>
      <c r="FS2" s="12">
        <v>45827.0</v>
      </c>
      <c r="FT2" s="12">
        <v>45828.0</v>
      </c>
      <c r="FU2" s="12">
        <v>45829.0</v>
      </c>
      <c r="FV2" s="12">
        <v>45830.0</v>
      </c>
      <c r="FW2" s="12">
        <v>45831.0</v>
      </c>
      <c r="FX2" s="12">
        <v>45832.0</v>
      </c>
      <c r="FY2" s="12">
        <v>45833.0</v>
      </c>
      <c r="FZ2" s="12">
        <v>45834.0</v>
      </c>
      <c r="GA2" s="12">
        <v>45835.0</v>
      </c>
      <c r="GB2" s="12">
        <v>45836.0</v>
      </c>
      <c r="GC2" s="12">
        <v>45837.0</v>
      </c>
      <c r="GD2" s="12">
        <v>45838.0</v>
      </c>
      <c r="GE2" s="12">
        <v>45839.0</v>
      </c>
      <c r="GF2" s="12">
        <v>45840.0</v>
      </c>
      <c r="GG2" s="12">
        <v>45841.0</v>
      </c>
      <c r="GH2" s="12">
        <v>45842.0</v>
      </c>
      <c r="GI2" s="12">
        <v>45843.0</v>
      </c>
      <c r="GJ2" s="12">
        <v>45844.0</v>
      </c>
      <c r="GK2" s="12">
        <v>45845.0</v>
      </c>
      <c r="GL2" s="12">
        <v>45846.0</v>
      </c>
      <c r="GM2" s="12">
        <v>45847.0</v>
      </c>
      <c r="GN2" s="12">
        <v>45848.0</v>
      </c>
      <c r="GO2" s="12">
        <v>45849.0</v>
      </c>
      <c r="GP2" s="12">
        <v>45850.0</v>
      </c>
      <c r="GQ2" s="12">
        <v>45851.0</v>
      </c>
      <c r="GR2" s="12">
        <v>45852.0</v>
      </c>
      <c r="GS2" s="12">
        <v>45853.0</v>
      </c>
      <c r="GT2" s="12">
        <v>45854.0</v>
      </c>
      <c r="GU2" s="12">
        <v>45855.0</v>
      </c>
      <c r="GV2" s="12">
        <v>45856.0</v>
      </c>
      <c r="GW2" s="12">
        <v>45857.0</v>
      </c>
      <c r="GX2" s="12">
        <v>45858.0</v>
      </c>
      <c r="GY2" s="12">
        <v>45859.0</v>
      </c>
      <c r="GZ2" s="12">
        <v>45860.0</v>
      </c>
      <c r="HA2" s="12">
        <v>45861.0</v>
      </c>
      <c r="HB2" s="12">
        <v>45862.0</v>
      </c>
      <c r="HC2" s="12">
        <v>45863.0</v>
      </c>
      <c r="HD2" s="12">
        <v>45864.0</v>
      </c>
      <c r="HE2" s="12">
        <v>45865.0</v>
      </c>
      <c r="HF2" s="12">
        <v>45866.0</v>
      </c>
      <c r="HG2" s="12">
        <v>45867.0</v>
      </c>
      <c r="HH2" s="12">
        <v>45868.0</v>
      </c>
      <c r="HI2" s="12">
        <v>45869.0</v>
      </c>
      <c r="HJ2" s="12">
        <v>45870.0</v>
      </c>
      <c r="HK2" s="12">
        <v>45871.0</v>
      </c>
      <c r="HL2" s="12">
        <v>45872.0</v>
      </c>
      <c r="HM2" s="12">
        <v>45873.0</v>
      </c>
      <c r="HN2" s="12">
        <v>45874.0</v>
      </c>
      <c r="HO2" s="12">
        <v>45875.0</v>
      </c>
      <c r="HP2" s="12">
        <v>45876.0</v>
      </c>
      <c r="HQ2" s="12">
        <v>45877.0</v>
      </c>
      <c r="HR2" s="12">
        <v>45878.0</v>
      </c>
      <c r="HS2" s="12">
        <v>45879.0</v>
      </c>
      <c r="HT2" s="12">
        <v>45880.0</v>
      </c>
      <c r="HU2" s="12">
        <v>45881.0</v>
      </c>
      <c r="HV2" s="12">
        <v>45882.0</v>
      </c>
      <c r="HW2" s="12">
        <v>45883.0</v>
      </c>
      <c r="HX2" s="12">
        <v>45884.0</v>
      </c>
      <c r="HY2" s="12">
        <v>45885.0</v>
      </c>
      <c r="HZ2" s="12">
        <v>45886.0</v>
      </c>
      <c r="IA2" s="12">
        <v>45887.0</v>
      </c>
      <c r="IB2" s="12">
        <v>45888.0</v>
      </c>
      <c r="IC2" s="12">
        <v>45889.0</v>
      </c>
      <c r="ID2" s="12">
        <v>45890.0</v>
      </c>
      <c r="IE2" s="12">
        <v>45891.0</v>
      </c>
      <c r="IF2" s="12">
        <v>45892.0</v>
      </c>
      <c r="IG2" s="12">
        <v>45893.0</v>
      </c>
      <c r="IH2" s="12">
        <v>45894.0</v>
      </c>
      <c r="II2" s="12">
        <v>45895.0</v>
      </c>
      <c r="IJ2" s="12">
        <v>45896.0</v>
      </c>
      <c r="IK2" s="12">
        <v>45897.0</v>
      </c>
      <c r="IL2" s="12">
        <v>45898.0</v>
      </c>
      <c r="IM2" s="12">
        <v>45899.0</v>
      </c>
      <c r="IN2" s="12">
        <v>45900.0</v>
      </c>
      <c r="IO2" s="12">
        <v>45901.0</v>
      </c>
      <c r="IP2" s="12">
        <v>45902.0</v>
      </c>
      <c r="IQ2" s="12">
        <v>45903.0</v>
      </c>
      <c r="IR2" s="12">
        <v>45904.0</v>
      </c>
      <c r="IS2" s="12">
        <v>45905.0</v>
      </c>
      <c r="IT2" s="12">
        <v>45906.0</v>
      </c>
      <c r="IU2" s="12">
        <v>45907.0</v>
      </c>
      <c r="IV2" s="12">
        <v>45908.0</v>
      </c>
      <c r="IW2" s="12">
        <v>45909.0</v>
      </c>
      <c r="IX2" s="12">
        <v>45910.0</v>
      </c>
      <c r="IY2" s="12">
        <v>45911.0</v>
      </c>
      <c r="IZ2" s="12">
        <v>45912.0</v>
      </c>
      <c r="JA2" s="12">
        <v>45913.0</v>
      </c>
      <c r="JB2" s="12">
        <v>45914.0</v>
      </c>
      <c r="JC2" s="12">
        <v>45915.0</v>
      </c>
      <c r="JD2" s="12">
        <v>45916.0</v>
      </c>
      <c r="JE2" s="12">
        <v>45917.0</v>
      </c>
      <c r="JF2" s="12">
        <v>45918.0</v>
      </c>
      <c r="JG2" s="12">
        <v>45919.0</v>
      </c>
      <c r="JH2" s="12">
        <v>45920.0</v>
      </c>
      <c r="JI2" s="12">
        <v>45921.0</v>
      </c>
      <c r="JJ2" s="12">
        <v>45922.0</v>
      </c>
      <c r="JK2" s="12">
        <v>45923.0</v>
      </c>
      <c r="JL2" s="12">
        <v>45924.0</v>
      </c>
      <c r="JM2" s="12">
        <v>45925.0</v>
      </c>
      <c r="JN2" s="12">
        <v>45926.0</v>
      </c>
      <c r="JO2" s="12">
        <v>45927.0</v>
      </c>
      <c r="JP2" s="12">
        <v>45928.0</v>
      </c>
      <c r="JQ2" s="12">
        <v>45929.0</v>
      </c>
      <c r="JR2" s="12">
        <v>45930.0</v>
      </c>
      <c r="JS2" s="12">
        <v>45931.0</v>
      </c>
      <c r="JT2" s="12">
        <v>45932.0</v>
      </c>
      <c r="JU2" s="12">
        <v>45933.0</v>
      </c>
      <c r="JV2" s="12">
        <v>45934.0</v>
      </c>
      <c r="JW2" s="12">
        <v>45935.0</v>
      </c>
      <c r="JX2" s="12">
        <v>45936.0</v>
      </c>
      <c r="JY2" s="12">
        <v>45937.0</v>
      </c>
      <c r="JZ2" s="12">
        <v>45938.0</v>
      </c>
      <c r="KA2" s="12">
        <v>45939.0</v>
      </c>
      <c r="KB2" s="12">
        <v>45940.0</v>
      </c>
      <c r="KC2" s="12">
        <v>45941.0</v>
      </c>
      <c r="KD2" s="12">
        <v>45942.0</v>
      </c>
      <c r="KE2" s="12">
        <v>45943.0</v>
      </c>
      <c r="KF2" s="12">
        <v>45944.0</v>
      </c>
      <c r="KG2" s="12">
        <v>45945.0</v>
      </c>
      <c r="KH2" s="12">
        <v>45946.0</v>
      </c>
      <c r="KI2" s="12">
        <v>45947.0</v>
      </c>
      <c r="KJ2" s="12">
        <v>45948.0</v>
      </c>
      <c r="KK2" s="12">
        <v>45949.0</v>
      </c>
      <c r="KL2" s="12">
        <v>45950.0</v>
      </c>
      <c r="KM2" s="12">
        <v>45951.0</v>
      </c>
      <c r="KN2" s="12">
        <v>45952.0</v>
      </c>
      <c r="KO2" s="12">
        <v>45953.0</v>
      </c>
      <c r="KP2" s="12">
        <v>45954.0</v>
      </c>
      <c r="KQ2" s="12">
        <v>45955.0</v>
      </c>
      <c r="KR2" s="12">
        <v>45956.0</v>
      </c>
      <c r="KS2" s="12">
        <v>45957.0</v>
      </c>
      <c r="KT2" s="12">
        <v>45958.0</v>
      </c>
      <c r="KU2" s="12">
        <v>45959.0</v>
      </c>
      <c r="KV2" s="12">
        <v>45960.0</v>
      </c>
      <c r="KW2" s="12">
        <v>45961.0</v>
      </c>
      <c r="KX2" s="12">
        <v>45962.0</v>
      </c>
      <c r="KY2" s="12">
        <v>45963.0</v>
      </c>
      <c r="KZ2" s="12">
        <v>45964.0</v>
      </c>
      <c r="LA2" s="12">
        <v>45965.0</v>
      </c>
      <c r="LB2" s="12">
        <v>45966.0</v>
      </c>
      <c r="LC2" s="12">
        <v>45967.0</v>
      </c>
      <c r="LD2" s="12">
        <v>45968.0</v>
      </c>
      <c r="LE2" s="12">
        <v>45969.0</v>
      </c>
      <c r="LF2" s="12">
        <v>45970.0</v>
      </c>
      <c r="LG2" s="12">
        <v>45971.0</v>
      </c>
      <c r="LH2" s="12">
        <v>45972.0</v>
      </c>
      <c r="LI2" s="12">
        <v>45973.0</v>
      </c>
      <c r="LJ2" s="12">
        <v>45974.0</v>
      </c>
      <c r="LK2" s="12">
        <v>45975.0</v>
      </c>
      <c r="LL2" s="12">
        <v>45976.0</v>
      </c>
      <c r="LM2" s="12">
        <v>45977.0</v>
      </c>
      <c r="LN2" s="12">
        <v>45978.0</v>
      </c>
      <c r="LO2" s="12">
        <v>45979.0</v>
      </c>
      <c r="LP2" s="12">
        <v>45980.0</v>
      </c>
      <c r="LQ2" s="12">
        <v>45981.0</v>
      </c>
      <c r="LR2" s="12">
        <v>45982.0</v>
      </c>
      <c r="LS2" s="12">
        <v>45983.0</v>
      </c>
      <c r="LT2" s="12">
        <v>45984.0</v>
      </c>
      <c r="LU2" s="12">
        <v>45985.0</v>
      </c>
      <c r="LV2" s="12">
        <v>45986.0</v>
      </c>
      <c r="LW2" s="12">
        <v>45987.0</v>
      </c>
      <c r="LX2" s="12">
        <v>45988.0</v>
      </c>
      <c r="LY2" s="12">
        <v>45989.0</v>
      </c>
      <c r="LZ2" s="12">
        <v>45990.0</v>
      </c>
      <c r="MA2" s="12">
        <v>45991.0</v>
      </c>
      <c r="MB2" s="12">
        <v>45992.0</v>
      </c>
      <c r="MC2" s="12">
        <v>45993.0</v>
      </c>
      <c r="MD2" s="12">
        <v>45994.0</v>
      </c>
      <c r="ME2" s="12">
        <v>45995.0</v>
      </c>
      <c r="MF2" s="12">
        <v>45996.0</v>
      </c>
      <c r="MG2" s="12">
        <v>45997.0</v>
      </c>
      <c r="MH2" s="12">
        <v>45998.0</v>
      </c>
      <c r="MI2" s="12">
        <v>45999.0</v>
      </c>
      <c r="MJ2" s="12">
        <v>46000.0</v>
      </c>
      <c r="MK2" s="12">
        <v>46001.0</v>
      </c>
      <c r="ML2" s="12">
        <v>46002.0</v>
      </c>
      <c r="MM2" s="12">
        <v>46003.0</v>
      </c>
      <c r="MN2" s="12">
        <v>46004.0</v>
      </c>
      <c r="MO2" s="12">
        <v>46005.0</v>
      </c>
      <c r="MP2" s="12">
        <v>46006.0</v>
      </c>
      <c r="MQ2" s="12">
        <v>46007.0</v>
      </c>
      <c r="MR2" s="12">
        <v>46008.0</v>
      </c>
      <c r="MS2" s="12">
        <v>46009.0</v>
      </c>
      <c r="MT2" s="12">
        <v>46010.0</v>
      </c>
      <c r="MU2" s="12">
        <v>46011.0</v>
      </c>
      <c r="MV2" s="12">
        <v>46012.0</v>
      </c>
      <c r="MW2" s="12">
        <v>46013.0</v>
      </c>
      <c r="MX2" s="12">
        <v>46014.0</v>
      </c>
      <c r="MY2" s="12">
        <v>46015.0</v>
      </c>
      <c r="MZ2" s="12">
        <v>46016.0</v>
      </c>
      <c r="NA2" s="12">
        <v>46017.0</v>
      </c>
      <c r="NB2" s="12">
        <v>46018.0</v>
      </c>
      <c r="NC2" s="12">
        <v>46019.0</v>
      </c>
      <c r="ND2" s="12">
        <v>46020.0</v>
      </c>
      <c r="NE2" s="12">
        <v>46021.0</v>
      </c>
      <c r="NF2" s="12">
        <v>46022.0</v>
      </c>
      <c r="NG2" s="11"/>
      <c r="NH2" s="11"/>
      <c r="NI2" s="11"/>
    </row>
    <row r="3">
      <c r="A3" s="3" t="str">
        <f>'0_Key'!A2</f>
        <v>High</v>
      </c>
      <c r="B3" s="3" t="str">
        <f>'0_Key'!B2</f>
        <v>Professional</v>
      </c>
      <c r="C3" s="3" t="str">
        <f>'0_Key'!D2</f>
        <v>Daily</v>
      </c>
      <c r="D3" s="3" t="str">
        <f>'0_Key'!E2</f>
        <v>Daily</v>
      </c>
      <c r="E3" s="3" t="str">
        <f>'0_Key'!C2</f>
        <v>AI Practitioner / Certifications</v>
      </c>
      <c r="F3" s="3" t="s">
        <v>67</v>
      </c>
      <c r="G3" s="3" t="s">
        <v>67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  <c r="BL3" s="3" t="s">
        <v>66</v>
      </c>
      <c r="BM3" s="3" t="s">
        <v>66</v>
      </c>
      <c r="BN3" s="3" t="s">
        <v>66</v>
      </c>
      <c r="BO3" s="3" t="s">
        <v>66</v>
      </c>
      <c r="BP3" s="3" t="s">
        <v>66</v>
      </c>
      <c r="BQ3" s="3" t="s">
        <v>66</v>
      </c>
      <c r="BR3" s="3" t="s">
        <v>66</v>
      </c>
      <c r="BS3" s="3" t="s">
        <v>66</v>
      </c>
      <c r="BT3" s="3" t="s">
        <v>66</v>
      </c>
      <c r="BU3" s="3" t="s">
        <v>66</v>
      </c>
      <c r="BV3" s="3" t="s">
        <v>66</v>
      </c>
      <c r="BW3" s="3" t="s">
        <v>66</v>
      </c>
      <c r="BX3" s="3" t="s">
        <v>66</v>
      </c>
      <c r="BY3" s="3" t="s">
        <v>66</v>
      </c>
      <c r="BZ3" s="3" t="s">
        <v>66</v>
      </c>
      <c r="CA3" s="3" t="s">
        <v>66</v>
      </c>
      <c r="CB3" s="3" t="s">
        <v>66</v>
      </c>
      <c r="CC3" s="3" t="s">
        <v>66</v>
      </c>
      <c r="CD3" s="3" t="s">
        <v>66</v>
      </c>
      <c r="CE3" s="3" t="s">
        <v>66</v>
      </c>
      <c r="CF3" s="3" t="s">
        <v>66</v>
      </c>
      <c r="CG3" s="3" t="s">
        <v>66</v>
      </c>
      <c r="CH3" s="3" t="s">
        <v>66</v>
      </c>
      <c r="CI3" s="3" t="s">
        <v>66</v>
      </c>
      <c r="CJ3" s="3" t="s">
        <v>66</v>
      </c>
      <c r="CK3" s="3" t="s">
        <v>66</v>
      </c>
      <c r="CL3" s="3" t="s">
        <v>66</v>
      </c>
      <c r="CM3" s="3" t="s">
        <v>66</v>
      </c>
      <c r="CN3" s="3" t="s">
        <v>66</v>
      </c>
      <c r="CO3" s="3" t="s">
        <v>66</v>
      </c>
      <c r="CP3" s="3" t="s">
        <v>66</v>
      </c>
      <c r="CQ3" s="3" t="s">
        <v>66</v>
      </c>
      <c r="CR3" s="3" t="s">
        <v>66</v>
      </c>
      <c r="CS3" s="3" t="s">
        <v>66</v>
      </c>
      <c r="CT3" s="3" t="s">
        <v>66</v>
      </c>
      <c r="CU3" s="3" t="s">
        <v>66</v>
      </c>
      <c r="CV3" s="3" t="s">
        <v>66</v>
      </c>
      <c r="CW3" s="3" t="s">
        <v>66</v>
      </c>
      <c r="CX3" s="3" t="s">
        <v>66</v>
      </c>
      <c r="CY3" s="3" t="s">
        <v>66</v>
      </c>
      <c r="CZ3" s="3" t="s">
        <v>66</v>
      </c>
      <c r="DA3" s="3" t="s">
        <v>66</v>
      </c>
      <c r="DB3" s="3" t="s">
        <v>66</v>
      </c>
      <c r="DC3" s="3" t="s">
        <v>66</v>
      </c>
      <c r="DD3" s="3" t="s">
        <v>66</v>
      </c>
      <c r="DE3" s="3" t="s">
        <v>66</v>
      </c>
      <c r="DF3" s="3" t="s">
        <v>66</v>
      </c>
      <c r="DG3" s="3" t="s">
        <v>66</v>
      </c>
      <c r="DH3" s="3" t="s">
        <v>66</v>
      </c>
      <c r="DI3" s="3" t="s">
        <v>66</v>
      </c>
      <c r="DJ3" s="3" t="s">
        <v>66</v>
      </c>
      <c r="DK3" s="3" t="s">
        <v>66</v>
      </c>
      <c r="DL3" s="3" t="s">
        <v>66</v>
      </c>
      <c r="DM3" s="3" t="s">
        <v>66</v>
      </c>
      <c r="DN3" s="3" t="s">
        <v>66</v>
      </c>
      <c r="DO3" s="3" t="s">
        <v>66</v>
      </c>
      <c r="DP3" s="3" t="s">
        <v>66</v>
      </c>
      <c r="DQ3" s="3" t="s">
        <v>66</v>
      </c>
      <c r="DR3" s="3" t="s">
        <v>66</v>
      </c>
      <c r="DS3" s="3" t="s">
        <v>66</v>
      </c>
      <c r="DT3" s="3" t="s">
        <v>66</v>
      </c>
      <c r="DU3" s="3" t="s">
        <v>66</v>
      </c>
      <c r="DV3" s="3" t="s">
        <v>66</v>
      </c>
      <c r="DW3" s="3" t="s">
        <v>66</v>
      </c>
      <c r="DX3" s="3" t="s">
        <v>66</v>
      </c>
      <c r="DY3" s="3" t="s">
        <v>66</v>
      </c>
      <c r="DZ3" s="3" t="s">
        <v>66</v>
      </c>
      <c r="EA3" s="3" t="s">
        <v>66</v>
      </c>
      <c r="EB3" s="3" t="s">
        <v>66</v>
      </c>
      <c r="EC3" s="3" t="s">
        <v>66</v>
      </c>
      <c r="ED3" s="3" t="s">
        <v>66</v>
      </c>
      <c r="EE3" s="3" t="s">
        <v>66</v>
      </c>
      <c r="EF3" s="3" t="s">
        <v>66</v>
      </c>
      <c r="EG3" s="3" t="s">
        <v>66</v>
      </c>
      <c r="EH3" s="3" t="s">
        <v>66</v>
      </c>
      <c r="EI3" s="3" t="s">
        <v>66</v>
      </c>
      <c r="EJ3" s="3" t="s">
        <v>66</v>
      </c>
      <c r="EK3" s="3" t="s">
        <v>66</v>
      </c>
      <c r="EL3" s="3" t="s">
        <v>66</v>
      </c>
      <c r="EM3" s="3" t="s">
        <v>66</v>
      </c>
      <c r="EN3" s="3" t="s">
        <v>66</v>
      </c>
      <c r="EO3" s="3" t="s">
        <v>66</v>
      </c>
      <c r="EP3" s="3" t="s">
        <v>66</v>
      </c>
      <c r="EQ3" s="3" t="s">
        <v>66</v>
      </c>
      <c r="ER3" s="3" t="s">
        <v>66</v>
      </c>
      <c r="ES3" s="3" t="s">
        <v>66</v>
      </c>
      <c r="ET3" s="3" t="s">
        <v>66</v>
      </c>
      <c r="EU3" s="3" t="s">
        <v>66</v>
      </c>
      <c r="EV3" s="3" t="s">
        <v>66</v>
      </c>
      <c r="EW3" s="3" t="s">
        <v>66</v>
      </c>
      <c r="EX3" s="3" t="s">
        <v>66</v>
      </c>
      <c r="EY3" s="3" t="s">
        <v>66</v>
      </c>
      <c r="EZ3" s="3" t="s">
        <v>66</v>
      </c>
      <c r="FA3" s="3" t="s">
        <v>66</v>
      </c>
      <c r="FB3" s="3" t="s">
        <v>66</v>
      </c>
      <c r="FC3" s="3" t="s">
        <v>66</v>
      </c>
      <c r="FD3" s="3" t="s">
        <v>66</v>
      </c>
      <c r="FE3" s="3" t="s">
        <v>66</v>
      </c>
      <c r="FF3" s="3" t="s">
        <v>66</v>
      </c>
      <c r="FG3" s="3" t="s">
        <v>66</v>
      </c>
      <c r="FH3" s="3" t="s">
        <v>66</v>
      </c>
      <c r="FI3" s="3" t="s">
        <v>66</v>
      </c>
      <c r="FJ3" s="3" t="s">
        <v>66</v>
      </c>
      <c r="FK3" s="3" t="s">
        <v>66</v>
      </c>
      <c r="FL3" s="3" t="s">
        <v>66</v>
      </c>
      <c r="FM3" s="3" t="s">
        <v>66</v>
      </c>
      <c r="FN3" s="3" t="s">
        <v>66</v>
      </c>
      <c r="FO3" s="3" t="s">
        <v>66</v>
      </c>
      <c r="FP3" s="3" t="s">
        <v>66</v>
      </c>
      <c r="FQ3" s="3" t="s">
        <v>66</v>
      </c>
      <c r="FR3" s="3" t="s">
        <v>66</v>
      </c>
      <c r="FS3" s="3" t="s">
        <v>66</v>
      </c>
      <c r="FT3" s="3" t="s">
        <v>66</v>
      </c>
      <c r="FU3" s="3" t="s">
        <v>66</v>
      </c>
      <c r="FV3" s="3" t="s">
        <v>66</v>
      </c>
      <c r="FW3" s="3" t="s">
        <v>66</v>
      </c>
      <c r="FX3" s="3" t="s">
        <v>66</v>
      </c>
      <c r="FY3" s="3" t="s">
        <v>66</v>
      </c>
      <c r="FZ3" s="3" t="s">
        <v>66</v>
      </c>
      <c r="GA3" s="3" t="s">
        <v>66</v>
      </c>
      <c r="GB3" s="3" t="s">
        <v>66</v>
      </c>
      <c r="GC3" s="3" t="s">
        <v>66</v>
      </c>
      <c r="GD3" s="3" t="s">
        <v>66</v>
      </c>
      <c r="GE3" s="3" t="s">
        <v>66</v>
      </c>
      <c r="GF3" s="3" t="s">
        <v>66</v>
      </c>
      <c r="GG3" s="3" t="s">
        <v>66</v>
      </c>
      <c r="GH3" s="3" t="s">
        <v>66</v>
      </c>
      <c r="GI3" s="3" t="s">
        <v>66</v>
      </c>
      <c r="GJ3" s="3" t="s">
        <v>66</v>
      </c>
      <c r="GK3" s="3" t="s">
        <v>66</v>
      </c>
      <c r="GL3" s="3" t="s">
        <v>66</v>
      </c>
      <c r="GM3" s="3" t="s">
        <v>66</v>
      </c>
      <c r="GN3" s="3" t="s">
        <v>66</v>
      </c>
      <c r="GO3" s="3" t="s">
        <v>66</v>
      </c>
      <c r="GP3" s="3" t="s">
        <v>66</v>
      </c>
      <c r="GQ3" s="3" t="s">
        <v>66</v>
      </c>
      <c r="GR3" s="3" t="s">
        <v>66</v>
      </c>
      <c r="GS3" s="3" t="s">
        <v>66</v>
      </c>
      <c r="GT3" s="3" t="s">
        <v>66</v>
      </c>
      <c r="GU3" s="3" t="s">
        <v>66</v>
      </c>
      <c r="GV3" s="3" t="s">
        <v>66</v>
      </c>
      <c r="GW3" s="3" t="s">
        <v>66</v>
      </c>
      <c r="GX3" s="3" t="s">
        <v>66</v>
      </c>
      <c r="GY3" s="3" t="s">
        <v>66</v>
      </c>
      <c r="GZ3" s="3" t="s">
        <v>66</v>
      </c>
      <c r="HA3" s="3" t="s">
        <v>66</v>
      </c>
      <c r="HB3" s="3" t="s">
        <v>66</v>
      </c>
      <c r="HC3" s="3" t="s">
        <v>66</v>
      </c>
      <c r="HD3" s="3" t="s">
        <v>66</v>
      </c>
      <c r="HE3" s="3" t="s">
        <v>66</v>
      </c>
      <c r="HF3" s="3" t="s">
        <v>66</v>
      </c>
      <c r="HG3" s="3" t="s">
        <v>66</v>
      </c>
      <c r="HH3" s="3" t="s">
        <v>66</v>
      </c>
      <c r="HI3" s="3" t="s">
        <v>66</v>
      </c>
      <c r="HJ3" s="3" t="s">
        <v>66</v>
      </c>
      <c r="HK3" s="3" t="s">
        <v>66</v>
      </c>
      <c r="HL3" s="3" t="s">
        <v>66</v>
      </c>
      <c r="HM3" s="3" t="s">
        <v>66</v>
      </c>
      <c r="HN3" s="3" t="s">
        <v>66</v>
      </c>
      <c r="HO3" s="3" t="s">
        <v>66</v>
      </c>
      <c r="HP3" s="3" t="s">
        <v>66</v>
      </c>
      <c r="HQ3" s="3" t="s">
        <v>66</v>
      </c>
      <c r="HR3" s="3" t="s">
        <v>66</v>
      </c>
      <c r="HS3" s="3" t="s">
        <v>66</v>
      </c>
      <c r="HT3" s="3" t="s">
        <v>66</v>
      </c>
      <c r="HU3" s="3" t="s">
        <v>66</v>
      </c>
      <c r="HV3" s="3" t="s">
        <v>66</v>
      </c>
      <c r="HW3" s="3" t="s">
        <v>66</v>
      </c>
      <c r="HX3" s="3" t="s">
        <v>66</v>
      </c>
      <c r="HY3" s="3" t="s">
        <v>66</v>
      </c>
      <c r="HZ3" s="3" t="s">
        <v>66</v>
      </c>
      <c r="IA3" s="3" t="s">
        <v>66</v>
      </c>
      <c r="IB3" s="3" t="s">
        <v>66</v>
      </c>
      <c r="IC3" s="3" t="s">
        <v>66</v>
      </c>
      <c r="ID3" s="3" t="s">
        <v>66</v>
      </c>
      <c r="IE3" s="3" t="s">
        <v>66</v>
      </c>
      <c r="IF3" s="3" t="s">
        <v>66</v>
      </c>
      <c r="IG3" s="3" t="s">
        <v>66</v>
      </c>
      <c r="IH3" s="3" t="s">
        <v>66</v>
      </c>
      <c r="II3" s="3" t="s">
        <v>66</v>
      </c>
      <c r="IJ3" s="3" t="s">
        <v>66</v>
      </c>
      <c r="IK3" s="3" t="s">
        <v>66</v>
      </c>
      <c r="IL3" s="3" t="s">
        <v>66</v>
      </c>
      <c r="IM3" s="3" t="s">
        <v>66</v>
      </c>
      <c r="IN3" s="3" t="s">
        <v>66</v>
      </c>
      <c r="IO3" s="3" t="s">
        <v>66</v>
      </c>
      <c r="IP3" s="3" t="s">
        <v>66</v>
      </c>
      <c r="IQ3" s="3" t="s">
        <v>66</v>
      </c>
      <c r="IR3" s="3" t="s">
        <v>66</v>
      </c>
      <c r="IS3" s="3" t="s">
        <v>66</v>
      </c>
      <c r="IT3" s="3" t="s">
        <v>66</v>
      </c>
      <c r="IU3" s="3" t="s">
        <v>66</v>
      </c>
      <c r="IV3" s="3" t="s">
        <v>66</v>
      </c>
      <c r="IW3" s="3" t="s">
        <v>66</v>
      </c>
      <c r="IX3" s="3" t="s">
        <v>66</v>
      </c>
      <c r="IY3" s="3" t="s">
        <v>66</v>
      </c>
      <c r="IZ3" s="3" t="s">
        <v>66</v>
      </c>
      <c r="JA3" s="3" t="s">
        <v>66</v>
      </c>
      <c r="JB3" s="3" t="s">
        <v>66</v>
      </c>
      <c r="JC3" s="3" t="s">
        <v>66</v>
      </c>
      <c r="JD3" s="3" t="s">
        <v>66</v>
      </c>
      <c r="JE3" s="3" t="s">
        <v>66</v>
      </c>
      <c r="JF3" s="3" t="s">
        <v>66</v>
      </c>
      <c r="JG3" s="3" t="s">
        <v>66</v>
      </c>
      <c r="JH3" s="3" t="s">
        <v>66</v>
      </c>
      <c r="JI3" s="3" t="s">
        <v>66</v>
      </c>
      <c r="JJ3" s="3" t="s">
        <v>66</v>
      </c>
      <c r="JK3" s="3" t="s">
        <v>66</v>
      </c>
      <c r="JL3" s="3" t="s">
        <v>66</v>
      </c>
      <c r="JM3" s="3" t="s">
        <v>66</v>
      </c>
      <c r="JN3" s="3" t="s">
        <v>66</v>
      </c>
      <c r="JO3" s="3" t="s">
        <v>66</v>
      </c>
      <c r="JP3" s="3" t="s">
        <v>66</v>
      </c>
      <c r="JQ3" s="3" t="s">
        <v>66</v>
      </c>
      <c r="JR3" s="3" t="s">
        <v>66</v>
      </c>
      <c r="JS3" s="3" t="s">
        <v>66</v>
      </c>
      <c r="JT3" s="3" t="s">
        <v>66</v>
      </c>
      <c r="JU3" s="3" t="s">
        <v>66</v>
      </c>
      <c r="JV3" s="3" t="s">
        <v>66</v>
      </c>
      <c r="JW3" s="3" t="s">
        <v>66</v>
      </c>
      <c r="JX3" s="3" t="s">
        <v>66</v>
      </c>
      <c r="JY3" s="3" t="s">
        <v>66</v>
      </c>
      <c r="JZ3" s="3" t="s">
        <v>66</v>
      </c>
      <c r="KA3" s="3" t="s">
        <v>66</v>
      </c>
      <c r="KB3" s="3" t="s">
        <v>66</v>
      </c>
      <c r="KC3" s="3" t="s">
        <v>66</v>
      </c>
      <c r="KD3" s="3" t="s">
        <v>66</v>
      </c>
      <c r="KE3" s="3" t="s">
        <v>66</v>
      </c>
      <c r="KF3" s="3" t="s">
        <v>66</v>
      </c>
      <c r="KG3" s="3" t="s">
        <v>66</v>
      </c>
      <c r="KH3" s="3" t="s">
        <v>66</v>
      </c>
      <c r="KI3" s="3" t="s">
        <v>66</v>
      </c>
      <c r="KJ3" s="3" t="s">
        <v>66</v>
      </c>
      <c r="KK3" s="3" t="s">
        <v>66</v>
      </c>
      <c r="KL3" s="3" t="s">
        <v>66</v>
      </c>
      <c r="KM3" s="3" t="s">
        <v>66</v>
      </c>
      <c r="KN3" s="3" t="s">
        <v>66</v>
      </c>
      <c r="KO3" s="3" t="s">
        <v>66</v>
      </c>
      <c r="KP3" s="3" t="s">
        <v>66</v>
      </c>
      <c r="KQ3" s="3" t="s">
        <v>66</v>
      </c>
      <c r="KR3" s="3" t="s">
        <v>66</v>
      </c>
      <c r="KS3" s="3" t="s">
        <v>66</v>
      </c>
      <c r="KT3" s="3" t="s">
        <v>66</v>
      </c>
      <c r="KU3" s="3" t="s">
        <v>66</v>
      </c>
      <c r="KV3" s="3" t="s">
        <v>66</v>
      </c>
      <c r="KW3" s="3" t="s">
        <v>66</v>
      </c>
      <c r="KX3" s="3" t="s">
        <v>66</v>
      </c>
      <c r="KY3" s="3" t="s">
        <v>66</v>
      </c>
      <c r="KZ3" s="3" t="s">
        <v>66</v>
      </c>
      <c r="LA3" s="3" t="s">
        <v>66</v>
      </c>
      <c r="LB3" s="3" t="s">
        <v>66</v>
      </c>
      <c r="LC3" s="3" t="s">
        <v>66</v>
      </c>
      <c r="LD3" s="3" t="s">
        <v>66</v>
      </c>
      <c r="LE3" s="3" t="s">
        <v>66</v>
      </c>
      <c r="LF3" s="3" t="s">
        <v>66</v>
      </c>
      <c r="LG3" s="3" t="s">
        <v>66</v>
      </c>
      <c r="LH3" s="3" t="s">
        <v>66</v>
      </c>
      <c r="LI3" s="3" t="s">
        <v>66</v>
      </c>
      <c r="LJ3" s="3" t="s">
        <v>66</v>
      </c>
      <c r="LK3" s="3" t="s">
        <v>66</v>
      </c>
      <c r="LL3" s="3" t="s">
        <v>66</v>
      </c>
      <c r="LM3" s="3" t="s">
        <v>66</v>
      </c>
      <c r="LN3" s="3" t="s">
        <v>66</v>
      </c>
      <c r="LO3" s="3" t="s">
        <v>66</v>
      </c>
      <c r="LP3" s="3" t="s">
        <v>66</v>
      </c>
      <c r="LQ3" s="3" t="s">
        <v>66</v>
      </c>
      <c r="LR3" s="3" t="s">
        <v>66</v>
      </c>
      <c r="LS3" s="3" t="s">
        <v>66</v>
      </c>
      <c r="LT3" s="3" t="s">
        <v>66</v>
      </c>
      <c r="LU3" s="3" t="s">
        <v>66</v>
      </c>
      <c r="LV3" s="3" t="s">
        <v>66</v>
      </c>
      <c r="LW3" s="3" t="s">
        <v>66</v>
      </c>
      <c r="LX3" s="3" t="s">
        <v>66</v>
      </c>
      <c r="LY3" s="3" t="s">
        <v>66</v>
      </c>
      <c r="LZ3" s="3" t="s">
        <v>66</v>
      </c>
      <c r="MA3" s="3" t="s">
        <v>66</v>
      </c>
      <c r="MB3" s="3" t="s">
        <v>66</v>
      </c>
      <c r="MC3" s="3" t="s">
        <v>66</v>
      </c>
      <c r="MD3" s="3" t="s">
        <v>66</v>
      </c>
      <c r="ME3" s="3" t="s">
        <v>66</v>
      </c>
      <c r="MF3" s="3" t="s">
        <v>66</v>
      </c>
      <c r="MG3" s="3" t="s">
        <v>66</v>
      </c>
      <c r="MH3" s="3" t="s">
        <v>66</v>
      </c>
      <c r="MI3" s="3" t="s">
        <v>66</v>
      </c>
      <c r="MJ3" s="3" t="s">
        <v>66</v>
      </c>
      <c r="MK3" s="3" t="s">
        <v>66</v>
      </c>
      <c r="ML3" s="3" t="s">
        <v>66</v>
      </c>
      <c r="MM3" s="3" t="s">
        <v>66</v>
      </c>
      <c r="MN3" s="3" t="s">
        <v>66</v>
      </c>
      <c r="MO3" s="3" t="s">
        <v>66</v>
      </c>
      <c r="MP3" s="3" t="s">
        <v>66</v>
      </c>
      <c r="MQ3" s="3" t="s">
        <v>66</v>
      </c>
      <c r="MR3" s="3" t="s">
        <v>66</v>
      </c>
      <c r="MS3" s="3" t="s">
        <v>66</v>
      </c>
      <c r="MT3" s="3" t="s">
        <v>66</v>
      </c>
      <c r="MU3" s="3" t="s">
        <v>66</v>
      </c>
      <c r="MV3" s="3" t="s">
        <v>66</v>
      </c>
      <c r="MW3" s="3" t="s">
        <v>66</v>
      </c>
      <c r="MX3" s="3" t="s">
        <v>66</v>
      </c>
      <c r="MY3" s="3" t="s">
        <v>66</v>
      </c>
      <c r="MZ3" s="3" t="s">
        <v>66</v>
      </c>
      <c r="NA3" s="3" t="s">
        <v>66</v>
      </c>
      <c r="NB3" s="3" t="s">
        <v>66</v>
      </c>
      <c r="NC3" s="3" t="s">
        <v>66</v>
      </c>
      <c r="ND3" s="3" t="s">
        <v>66</v>
      </c>
      <c r="NE3" s="3" t="s">
        <v>66</v>
      </c>
      <c r="NF3" s="3" t="s">
        <v>66</v>
      </c>
      <c r="NG3" s="3">
        <f t="shared" ref="NG3:NG12" si="1">COUNTIF(F3:NF3,"NS")</f>
        <v>363</v>
      </c>
      <c r="NH3" s="3">
        <f t="shared" ref="NH3:NH12" si="2">COUNTIF(F3:NF3,"C")</f>
        <v>2</v>
      </c>
      <c r="NI3" s="3">
        <f t="shared" ref="NI3:NI12" si="3">COUNTIF(F3:NF3,"F")</f>
        <v>0</v>
      </c>
    </row>
    <row r="4">
      <c r="A4" s="3" t="str">
        <f>'0_Key'!A3</f>
        <v>High</v>
      </c>
      <c r="B4" s="3" t="str">
        <f>'0_Key'!B3</f>
        <v>Health</v>
      </c>
      <c r="C4" s="3" t="str">
        <f>'0_Key'!D3</f>
        <v>Daily</v>
      </c>
      <c r="D4" s="3" t="str">
        <f>'0_Key'!E3</f>
        <v>Daily</v>
      </c>
      <c r="E4" s="3" t="str">
        <f>'0_Key'!C3</f>
        <v>Speed Ball / Bike / Run</v>
      </c>
      <c r="F4" s="3" t="s">
        <v>62</v>
      </c>
      <c r="G4" s="3" t="s">
        <v>67</v>
      </c>
      <c r="H4" s="3" t="s">
        <v>66</v>
      </c>
      <c r="I4" s="3" t="s">
        <v>66</v>
      </c>
      <c r="J4" s="3" t="s">
        <v>66</v>
      </c>
      <c r="K4" s="3" t="s">
        <v>66</v>
      </c>
      <c r="L4" s="3" t="s">
        <v>66</v>
      </c>
      <c r="M4" s="3" t="s">
        <v>66</v>
      </c>
      <c r="N4" s="3" t="s">
        <v>66</v>
      </c>
      <c r="O4" s="3" t="s">
        <v>66</v>
      </c>
      <c r="P4" s="3" t="s">
        <v>66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66</v>
      </c>
      <c r="BL4" s="3" t="s">
        <v>66</v>
      </c>
      <c r="BM4" s="3" t="s">
        <v>66</v>
      </c>
      <c r="BN4" s="3" t="s">
        <v>66</v>
      </c>
      <c r="BO4" s="3" t="s">
        <v>66</v>
      </c>
      <c r="BP4" s="3" t="s">
        <v>66</v>
      </c>
      <c r="BQ4" s="3" t="s">
        <v>66</v>
      </c>
      <c r="BR4" s="3" t="s">
        <v>66</v>
      </c>
      <c r="BS4" s="3" t="s">
        <v>66</v>
      </c>
      <c r="BT4" s="3" t="s">
        <v>66</v>
      </c>
      <c r="BU4" s="3" t="s">
        <v>66</v>
      </c>
      <c r="BV4" s="3" t="s">
        <v>66</v>
      </c>
      <c r="BW4" s="3" t="s">
        <v>66</v>
      </c>
      <c r="BX4" s="3" t="s">
        <v>66</v>
      </c>
      <c r="BY4" s="3" t="s">
        <v>66</v>
      </c>
      <c r="BZ4" s="3" t="s">
        <v>66</v>
      </c>
      <c r="CA4" s="3" t="s">
        <v>66</v>
      </c>
      <c r="CB4" s="3" t="s">
        <v>66</v>
      </c>
      <c r="CC4" s="3" t="s">
        <v>66</v>
      </c>
      <c r="CD4" s="3" t="s">
        <v>66</v>
      </c>
      <c r="CE4" s="3" t="s">
        <v>66</v>
      </c>
      <c r="CF4" s="3" t="s">
        <v>66</v>
      </c>
      <c r="CG4" s="3" t="s">
        <v>66</v>
      </c>
      <c r="CH4" s="3" t="s">
        <v>66</v>
      </c>
      <c r="CI4" s="3" t="s">
        <v>66</v>
      </c>
      <c r="CJ4" s="3" t="s">
        <v>66</v>
      </c>
      <c r="CK4" s="3" t="s">
        <v>66</v>
      </c>
      <c r="CL4" s="3" t="s">
        <v>66</v>
      </c>
      <c r="CM4" s="3" t="s">
        <v>66</v>
      </c>
      <c r="CN4" s="3" t="s">
        <v>66</v>
      </c>
      <c r="CO4" s="3" t="s">
        <v>66</v>
      </c>
      <c r="CP4" s="3" t="s">
        <v>66</v>
      </c>
      <c r="CQ4" s="3" t="s">
        <v>66</v>
      </c>
      <c r="CR4" s="3" t="s">
        <v>66</v>
      </c>
      <c r="CS4" s="3" t="s">
        <v>66</v>
      </c>
      <c r="CT4" s="3" t="s">
        <v>66</v>
      </c>
      <c r="CU4" s="3" t="s">
        <v>66</v>
      </c>
      <c r="CV4" s="3" t="s">
        <v>66</v>
      </c>
      <c r="CW4" s="3" t="s">
        <v>66</v>
      </c>
      <c r="CX4" s="3" t="s">
        <v>66</v>
      </c>
      <c r="CY4" s="3" t="s">
        <v>66</v>
      </c>
      <c r="CZ4" s="3" t="s">
        <v>66</v>
      </c>
      <c r="DA4" s="3" t="s">
        <v>66</v>
      </c>
      <c r="DB4" s="3" t="s">
        <v>66</v>
      </c>
      <c r="DC4" s="3" t="s">
        <v>66</v>
      </c>
      <c r="DD4" s="3" t="s">
        <v>66</v>
      </c>
      <c r="DE4" s="3" t="s">
        <v>66</v>
      </c>
      <c r="DF4" s="3" t="s">
        <v>66</v>
      </c>
      <c r="DG4" s="3" t="s">
        <v>66</v>
      </c>
      <c r="DH4" s="3" t="s">
        <v>66</v>
      </c>
      <c r="DI4" s="3" t="s">
        <v>66</v>
      </c>
      <c r="DJ4" s="3" t="s">
        <v>66</v>
      </c>
      <c r="DK4" s="3" t="s">
        <v>66</v>
      </c>
      <c r="DL4" s="3" t="s">
        <v>66</v>
      </c>
      <c r="DM4" s="3" t="s">
        <v>66</v>
      </c>
      <c r="DN4" s="3" t="s">
        <v>66</v>
      </c>
      <c r="DO4" s="3" t="s">
        <v>66</v>
      </c>
      <c r="DP4" s="3" t="s">
        <v>66</v>
      </c>
      <c r="DQ4" s="3" t="s">
        <v>66</v>
      </c>
      <c r="DR4" s="3" t="s">
        <v>66</v>
      </c>
      <c r="DS4" s="3" t="s">
        <v>66</v>
      </c>
      <c r="DT4" s="3" t="s">
        <v>66</v>
      </c>
      <c r="DU4" s="3" t="s">
        <v>66</v>
      </c>
      <c r="DV4" s="3" t="s">
        <v>66</v>
      </c>
      <c r="DW4" s="3" t="s">
        <v>66</v>
      </c>
      <c r="DX4" s="3" t="s">
        <v>66</v>
      </c>
      <c r="DY4" s="3" t="s">
        <v>66</v>
      </c>
      <c r="DZ4" s="3" t="s">
        <v>66</v>
      </c>
      <c r="EA4" s="3" t="s">
        <v>66</v>
      </c>
      <c r="EB4" s="3" t="s">
        <v>66</v>
      </c>
      <c r="EC4" s="3" t="s">
        <v>66</v>
      </c>
      <c r="ED4" s="3" t="s">
        <v>66</v>
      </c>
      <c r="EE4" s="3" t="s">
        <v>66</v>
      </c>
      <c r="EF4" s="3" t="s">
        <v>66</v>
      </c>
      <c r="EG4" s="3" t="s">
        <v>66</v>
      </c>
      <c r="EH4" s="3" t="s">
        <v>66</v>
      </c>
      <c r="EI4" s="3" t="s">
        <v>66</v>
      </c>
      <c r="EJ4" s="3" t="s">
        <v>66</v>
      </c>
      <c r="EK4" s="3" t="s">
        <v>66</v>
      </c>
      <c r="EL4" s="3" t="s">
        <v>66</v>
      </c>
      <c r="EM4" s="3" t="s">
        <v>66</v>
      </c>
      <c r="EN4" s="3" t="s">
        <v>66</v>
      </c>
      <c r="EO4" s="3" t="s">
        <v>66</v>
      </c>
      <c r="EP4" s="3" t="s">
        <v>66</v>
      </c>
      <c r="EQ4" s="3" t="s">
        <v>66</v>
      </c>
      <c r="ER4" s="3" t="s">
        <v>66</v>
      </c>
      <c r="ES4" s="3" t="s">
        <v>66</v>
      </c>
      <c r="ET4" s="3" t="s">
        <v>66</v>
      </c>
      <c r="EU4" s="3" t="s">
        <v>66</v>
      </c>
      <c r="EV4" s="3" t="s">
        <v>66</v>
      </c>
      <c r="EW4" s="3" t="s">
        <v>66</v>
      </c>
      <c r="EX4" s="3" t="s">
        <v>66</v>
      </c>
      <c r="EY4" s="3" t="s">
        <v>66</v>
      </c>
      <c r="EZ4" s="3" t="s">
        <v>66</v>
      </c>
      <c r="FA4" s="3" t="s">
        <v>66</v>
      </c>
      <c r="FB4" s="3" t="s">
        <v>66</v>
      </c>
      <c r="FC4" s="3" t="s">
        <v>66</v>
      </c>
      <c r="FD4" s="3" t="s">
        <v>66</v>
      </c>
      <c r="FE4" s="3" t="s">
        <v>66</v>
      </c>
      <c r="FF4" s="3" t="s">
        <v>66</v>
      </c>
      <c r="FG4" s="3" t="s">
        <v>66</v>
      </c>
      <c r="FH4" s="3" t="s">
        <v>66</v>
      </c>
      <c r="FI4" s="3" t="s">
        <v>66</v>
      </c>
      <c r="FJ4" s="3" t="s">
        <v>66</v>
      </c>
      <c r="FK4" s="3" t="s">
        <v>66</v>
      </c>
      <c r="FL4" s="3" t="s">
        <v>66</v>
      </c>
      <c r="FM4" s="3" t="s">
        <v>66</v>
      </c>
      <c r="FN4" s="3" t="s">
        <v>66</v>
      </c>
      <c r="FO4" s="3" t="s">
        <v>66</v>
      </c>
      <c r="FP4" s="3" t="s">
        <v>66</v>
      </c>
      <c r="FQ4" s="3" t="s">
        <v>66</v>
      </c>
      <c r="FR4" s="3" t="s">
        <v>66</v>
      </c>
      <c r="FS4" s="3" t="s">
        <v>66</v>
      </c>
      <c r="FT4" s="3" t="s">
        <v>66</v>
      </c>
      <c r="FU4" s="3" t="s">
        <v>66</v>
      </c>
      <c r="FV4" s="3" t="s">
        <v>66</v>
      </c>
      <c r="FW4" s="3" t="s">
        <v>66</v>
      </c>
      <c r="FX4" s="3" t="s">
        <v>66</v>
      </c>
      <c r="FY4" s="3" t="s">
        <v>66</v>
      </c>
      <c r="FZ4" s="3" t="s">
        <v>66</v>
      </c>
      <c r="GA4" s="3" t="s">
        <v>66</v>
      </c>
      <c r="GB4" s="3" t="s">
        <v>66</v>
      </c>
      <c r="GC4" s="3" t="s">
        <v>66</v>
      </c>
      <c r="GD4" s="3" t="s">
        <v>66</v>
      </c>
      <c r="GE4" s="3" t="s">
        <v>66</v>
      </c>
      <c r="GF4" s="3" t="s">
        <v>66</v>
      </c>
      <c r="GG4" s="3" t="s">
        <v>66</v>
      </c>
      <c r="GH4" s="3" t="s">
        <v>66</v>
      </c>
      <c r="GI4" s="3" t="s">
        <v>66</v>
      </c>
      <c r="GJ4" s="3" t="s">
        <v>66</v>
      </c>
      <c r="GK4" s="3" t="s">
        <v>66</v>
      </c>
      <c r="GL4" s="3" t="s">
        <v>66</v>
      </c>
      <c r="GM4" s="3" t="s">
        <v>66</v>
      </c>
      <c r="GN4" s="3" t="s">
        <v>66</v>
      </c>
      <c r="GO4" s="3" t="s">
        <v>66</v>
      </c>
      <c r="GP4" s="3" t="s">
        <v>66</v>
      </c>
      <c r="GQ4" s="3" t="s">
        <v>66</v>
      </c>
      <c r="GR4" s="3" t="s">
        <v>66</v>
      </c>
      <c r="GS4" s="3" t="s">
        <v>66</v>
      </c>
      <c r="GT4" s="3" t="s">
        <v>66</v>
      </c>
      <c r="GU4" s="3" t="s">
        <v>66</v>
      </c>
      <c r="GV4" s="3" t="s">
        <v>66</v>
      </c>
      <c r="GW4" s="3" t="s">
        <v>66</v>
      </c>
      <c r="GX4" s="3" t="s">
        <v>66</v>
      </c>
      <c r="GY4" s="3" t="s">
        <v>66</v>
      </c>
      <c r="GZ4" s="3" t="s">
        <v>66</v>
      </c>
      <c r="HA4" s="3" t="s">
        <v>66</v>
      </c>
      <c r="HB4" s="3" t="s">
        <v>66</v>
      </c>
      <c r="HC4" s="3" t="s">
        <v>66</v>
      </c>
      <c r="HD4" s="3" t="s">
        <v>66</v>
      </c>
      <c r="HE4" s="3" t="s">
        <v>66</v>
      </c>
      <c r="HF4" s="3" t="s">
        <v>66</v>
      </c>
      <c r="HG4" s="3" t="s">
        <v>66</v>
      </c>
      <c r="HH4" s="3" t="s">
        <v>66</v>
      </c>
      <c r="HI4" s="3" t="s">
        <v>66</v>
      </c>
      <c r="HJ4" s="3" t="s">
        <v>66</v>
      </c>
      <c r="HK4" s="3" t="s">
        <v>66</v>
      </c>
      <c r="HL4" s="3" t="s">
        <v>66</v>
      </c>
      <c r="HM4" s="3" t="s">
        <v>66</v>
      </c>
      <c r="HN4" s="3" t="s">
        <v>66</v>
      </c>
      <c r="HO4" s="3" t="s">
        <v>66</v>
      </c>
      <c r="HP4" s="3" t="s">
        <v>66</v>
      </c>
      <c r="HQ4" s="3" t="s">
        <v>66</v>
      </c>
      <c r="HR4" s="3" t="s">
        <v>66</v>
      </c>
      <c r="HS4" s="3" t="s">
        <v>66</v>
      </c>
      <c r="HT4" s="3" t="s">
        <v>66</v>
      </c>
      <c r="HU4" s="3" t="s">
        <v>66</v>
      </c>
      <c r="HV4" s="3" t="s">
        <v>66</v>
      </c>
      <c r="HW4" s="3" t="s">
        <v>66</v>
      </c>
      <c r="HX4" s="3" t="s">
        <v>66</v>
      </c>
      <c r="HY4" s="3" t="s">
        <v>66</v>
      </c>
      <c r="HZ4" s="3" t="s">
        <v>66</v>
      </c>
      <c r="IA4" s="3" t="s">
        <v>66</v>
      </c>
      <c r="IB4" s="3" t="s">
        <v>66</v>
      </c>
      <c r="IC4" s="3" t="s">
        <v>66</v>
      </c>
      <c r="ID4" s="3" t="s">
        <v>66</v>
      </c>
      <c r="IE4" s="3" t="s">
        <v>66</v>
      </c>
      <c r="IF4" s="3" t="s">
        <v>66</v>
      </c>
      <c r="IG4" s="3" t="s">
        <v>66</v>
      </c>
      <c r="IH4" s="3" t="s">
        <v>66</v>
      </c>
      <c r="II4" s="3" t="s">
        <v>66</v>
      </c>
      <c r="IJ4" s="3" t="s">
        <v>66</v>
      </c>
      <c r="IK4" s="3" t="s">
        <v>66</v>
      </c>
      <c r="IL4" s="3" t="s">
        <v>66</v>
      </c>
      <c r="IM4" s="3" t="s">
        <v>66</v>
      </c>
      <c r="IN4" s="3" t="s">
        <v>66</v>
      </c>
      <c r="IO4" s="3" t="s">
        <v>66</v>
      </c>
      <c r="IP4" s="3" t="s">
        <v>66</v>
      </c>
      <c r="IQ4" s="3" t="s">
        <v>66</v>
      </c>
      <c r="IR4" s="3" t="s">
        <v>66</v>
      </c>
      <c r="IS4" s="3" t="s">
        <v>66</v>
      </c>
      <c r="IT4" s="3" t="s">
        <v>66</v>
      </c>
      <c r="IU4" s="3" t="s">
        <v>66</v>
      </c>
      <c r="IV4" s="3" t="s">
        <v>66</v>
      </c>
      <c r="IW4" s="3" t="s">
        <v>66</v>
      </c>
      <c r="IX4" s="3" t="s">
        <v>66</v>
      </c>
      <c r="IY4" s="3" t="s">
        <v>66</v>
      </c>
      <c r="IZ4" s="3" t="s">
        <v>66</v>
      </c>
      <c r="JA4" s="3" t="s">
        <v>66</v>
      </c>
      <c r="JB4" s="3" t="s">
        <v>66</v>
      </c>
      <c r="JC4" s="3" t="s">
        <v>66</v>
      </c>
      <c r="JD4" s="3" t="s">
        <v>66</v>
      </c>
      <c r="JE4" s="3" t="s">
        <v>66</v>
      </c>
      <c r="JF4" s="3" t="s">
        <v>66</v>
      </c>
      <c r="JG4" s="3" t="s">
        <v>66</v>
      </c>
      <c r="JH4" s="3" t="s">
        <v>66</v>
      </c>
      <c r="JI4" s="3" t="s">
        <v>66</v>
      </c>
      <c r="JJ4" s="3" t="s">
        <v>66</v>
      </c>
      <c r="JK4" s="3" t="s">
        <v>66</v>
      </c>
      <c r="JL4" s="3" t="s">
        <v>66</v>
      </c>
      <c r="JM4" s="3" t="s">
        <v>66</v>
      </c>
      <c r="JN4" s="3" t="s">
        <v>66</v>
      </c>
      <c r="JO4" s="3" t="s">
        <v>66</v>
      </c>
      <c r="JP4" s="3" t="s">
        <v>66</v>
      </c>
      <c r="JQ4" s="3" t="s">
        <v>66</v>
      </c>
      <c r="JR4" s="3" t="s">
        <v>66</v>
      </c>
      <c r="JS4" s="3" t="s">
        <v>66</v>
      </c>
      <c r="JT4" s="3" t="s">
        <v>66</v>
      </c>
      <c r="JU4" s="3" t="s">
        <v>66</v>
      </c>
      <c r="JV4" s="3" t="s">
        <v>66</v>
      </c>
      <c r="JW4" s="3" t="s">
        <v>66</v>
      </c>
      <c r="JX4" s="3" t="s">
        <v>66</v>
      </c>
      <c r="JY4" s="3" t="s">
        <v>66</v>
      </c>
      <c r="JZ4" s="3" t="s">
        <v>66</v>
      </c>
      <c r="KA4" s="3" t="s">
        <v>66</v>
      </c>
      <c r="KB4" s="3" t="s">
        <v>66</v>
      </c>
      <c r="KC4" s="3" t="s">
        <v>66</v>
      </c>
      <c r="KD4" s="3" t="s">
        <v>66</v>
      </c>
      <c r="KE4" s="3" t="s">
        <v>66</v>
      </c>
      <c r="KF4" s="3" t="s">
        <v>66</v>
      </c>
      <c r="KG4" s="3" t="s">
        <v>66</v>
      </c>
      <c r="KH4" s="3" t="s">
        <v>66</v>
      </c>
      <c r="KI4" s="3" t="s">
        <v>66</v>
      </c>
      <c r="KJ4" s="3" t="s">
        <v>66</v>
      </c>
      <c r="KK4" s="3" t="s">
        <v>66</v>
      </c>
      <c r="KL4" s="3" t="s">
        <v>66</v>
      </c>
      <c r="KM4" s="3" t="s">
        <v>66</v>
      </c>
      <c r="KN4" s="3" t="s">
        <v>66</v>
      </c>
      <c r="KO4" s="3" t="s">
        <v>66</v>
      </c>
      <c r="KP4" s="3" t="s">
        <v>66</v>
      </c>
      <c r="KQ4" s="3" t="s">
        <v>66</v>
      </c>
      <c r="KR4" s="3" t="s">
        <v>66</v>
      </c>
      <c r="KS4" s="3" t="s">
        <v>66</v>
      </c>
      <c r="KT4" s="3" t="s">
        <v>66</v>
      </c>
      <c r="KU4" s="3" t="s">
        <v>66</v>
      </c>
      <c r="KV4" s="3" t="s">
        <v>66</v>
      </c>
      <c r="KW4" s="3" t="s">
        <v>66</v>
      </c>
      <c r="KX4" s="3" t="s">
        <v>66</v>
      </c>
      <c r="KY4" s="3" t="s">
        <v>66</v>
      </c>
      <c r="KZ4" s="3" t="s">
        <v>66</v>
      </c>
      <c r="LA4" s="3" t="s">
        <v>66</v>
      </c>
      <c r="LB4" s="3" t="s">
        <v>66</v>
      </c>
      <c r="LC4" s="3" t="s">
        <v>66</v>
      </c>
      <c r="LD4" s="3" t="s">
        <v>66</v>
      </c>
      <c r="LE4" s="3" t="s">
        <v>66</v>
      </c>
      <c r="LF4" s="3" t="s">
        <v>66</v>
      </c>
      <c r="LG4" s="3" t="s">
        <v>66</v>
      </c>
      <c r="LH4" s="3" t="s">
        <v>66</v>
      </c>
      <c r="LI4" s="3" t="s">
        <v>66</v>
      </c>
      <c r="LJ4" s="3" t="s">
        <v>66</v>
      </c>
      <c r="LK4" s="3" t="s">
        <v>66</v>
      </c>
      <c r="LL4" s="3" t="s">
        <v>66</v>
      </c>
      <c r="LM4" s="3" t="s">
        <v>66</v>
      </c>
      <c r="LN4" s="3" t="s">
        <v>66</v>
      </c>
      <c r="LO4" s="3" t="s">
        <v>66</v>
      </c>
      <c r="LP4" s="3" t="s">
        <v>66</v>
      </c>
      <c r="LQ4" s="3" t="s">
        <v>66</v>
      </c>
      <c r="LR4" s="3" t="s">
        <v>66</v>
      </c>
      <c r="LS4" s="3" t="s">
        <v>66</v>
      </c>
      <c r="LT4" s="3" t="s">
        <v>66</v>
      </c>
      <c r="LU4" s="3" t="s">
        <v>66</v>
      </c>
      <c r="LV4" s="3" t="s">
        <v>66</v>
      </c>
      <c r="LW4" s="3" t="s">
        <v>66</v>
      </c>
      <c r="LX4" s="3" t="s">
        <v>66</v>
      </c>
      <c r="LY4" s="3" t="s">
        <v>66</v>
      </c>
      <c r="LZ4" s="3" t="s">
        <v>66</v>
      </c>
      <c r="MA4" s="3" t="s">
        <v>66</v>
      </c>
      <c r="MB4" s="3" t="s">
        <v>66</v>
      </c>
      <c r="MC4" s="3" t="s">
        <v>66</v>
      </c>
      <c r="MD4" s="3" t="s">
        <v>66</v>
      </c>
      <c r="ME4" s="3" t="s">
        <v>66</v>
      </c>
      <c r="MF4" s="3" t="s">
        <v>66</v>
      </c>
      <c r="MG4" s="3" t="s">
        <v>66</v>
      </c>
      <c r="MH4" s="3" t="s">
        <v>66</v>
      </c>
      <c r="MI4" s="3" t="s">
        <v>66</v>
      </c>
      <c r="MJ4" s="3" t="s">
        <v>66</v>
      </c>
      <c r="MK4" s="3" t="s">
        <v>66</v>
      </c>
      <c r="ML4" s="3" t="s">
        <v>66</v>
      </c>
      <c r="MM4" s="3" t="s">
        <v>66</v>
      </c>
      <c r="MN4" s="3" t="s">
        <v>66</v>
      </c>
      <c r="MO4" s="3" t="s">
        <v>66</v>
      </c>
      <c r="MP4" s="3" t="s">
        <v>66</v>
      </c>
      <c r="MQ4" s="3" t="s">
        <v>66</v>
      </c>
      <c r="MR4" s="3" t="s">
        <v>66</v>
      </c>
      <c r="MS4" s="3" t="s">
        <v>66</v>
      </c>
      <c r="MT4" s="3" t="s">
        <v>66</v>
      </c>
      <c r="MU4" s="3" t="s">
        <v>66</v>
      </c>
      <c r="MV4" s="3" t="s">
        <v>66</v>
      </c>
      <c r="MW4" s="3" t="s">
        <v>66</v>
      </c>
      <c r="MX4" s="3" t="s">
        <v>66</v>
      </c>
      <c r="MY4" s="3" t="s">
        <v>66</v>
      </c>
      <c r="MZ4" s="3" t="s">
        <v>66</v>
      </c>
      <c r="NA4" s="3" t="s">
        <v>66</v>
      </c>
      <c r="NB4" s="3" t="s">
        <v>66</v>
      </c>
      <c r="NC4" s="3" t="s">
        <v>66</v>
      </c>
      <c r="ND4" s="3" t="s">
        <v>66</v>
      </c>
      <c r="NE4" s="3" t="s">
        <v>66</v>
      </c>
      <c r="NF4" s="3" t="s">
        <v>66</v>
      </c>
      <c r="NG4" s="3">
        <f t="shared" si="1"/>
        <v>363</v>
      </c>
      <c r="NH4" s="3">
        <f t="shared" si="2"/>
        <v>1</v>
      </c>
      <c r="NI4" s="3">
        <f t="shared" si="3"/>
        <v>1</v>
      </c>
    </row>
    <row r="5">
      <c r="A5" s="3" t="str">
        <f>'0_Key'!A4</f>
        <v>High</v>
      </c>
      <c r="B5" s="3" t="str">
        <f>'0_Key'!B4</f>
        <v>Corporate</v>
      </c>
      <c r="C5" s="3" t="str">
        <f>'0_Key'!D4</f>
        <v>Daily</v>
      </c>
      <c r="D5" s="3" t="str">
        <f>'0_Key'!E4</f>
        <v>Daily</v>
      </c>
      <c r="E5" s="3" t="str">
        <f>'0_Key'!C4</f>
        <v>Project Health</v>
      </c>
      <c r="F5" s="3" t="s">
        <v>67</v>
      </c>
      <c r="G5" s="3" t="s">
        <v>66</v>
      </c>
      <c r="H5" s="3" t="s">
        <v>66</v>
      </c>
      <c r="I5" s="3" t="s">
        <v>66</v>
      </c>
      <c r="J5" s="3" t="s">
        <v>66</v>
      </c>
      <c r="K5" s="3" t="s">
        <v>66</v>
      </c>
      <c r="L5" s="3" t="s">
        <v>66</v>
      </c>
      <c r="M5" s="3" t="s">
        <v>66</v>
      </c>
      <c r="N5" s="3" t="s">
        <v>66</v>
      </c>
      <c r="O5" s="3" t="s">
        <v>66</v>
      </c>
      <c r="P5" s="3" t="s">
        <v>66</v>
      </c>
      <c r="Q5" s="3" t="s">
        <v>66</v>
      </c>
      <c r="R5" s="3" t="s">
        <v>66</v>
      </c>
      <c r="S5" s="3" t="s">
        <v>66</v>
      </c>
      <c r="T5" s="3" t="s">
        <v>66</v>
      </c>
      <c r="U5" s="3" t="s">
        <v>66</v>
      </c>
      <c r="V5" s="3" t="s">
        <v>66</v>
      </c>
      <c r="W5" s="3" t="s">
        <v>66</v>
      </c>
      <c r="X5" s="3" t="s">
        <v>66</v>
      </c>
      <c r="Y5" s="3" t="s">
        <v>66</v>
      </c>
      <c r="Z5" s="3" t="s">
        <v>66</v>
      </c>
      <c r="AA5" s="3" t="s">
        <v>66</v>
      </c>
      <c r="AB5" s="3" t="s">
        <v>66</v>
      </c>
      <c r="AC5" s="3" t="s">
        <v>66</v>
      </c>
      <c r="AD5" s="3" t="s">
        <v>66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66</v>
      </c>
      <c r="AS5" s="3" t="s">
        <v>66</v>
      </c>
      <c r="AT5" s="3" t="s">
        <v>66</v>
      </c>
      <c r="AU5" s="3" t="s">
        <v>66</v>
      </c>
      <c r="AV5" s="3" t="s">
        <v>66</v>
      </c>
      <c r="AW5" s="3" t="s">
        <v>66</v>
      </c>
      <c r="AX5" s="3" t="s">
        <v>66</v>
      </c>
      <c r="AY5" s="3" t="s">
        <v>66</v>
      </c>
      <c r="AZ5" s="3" t="s">
        <v>66</v>
      </c>
      <c r="BA5" s="3" t="s">
        <v>66</v>
      </c>
      <c r="BB5" s="3" t="s">
        <v>66</v>
      </c>
      <c r="BC5" s="3" t="s">
        <v>66</v>
      </c>
      <c r="BD5" s="3" t="s">
        <v>66</v>
      </c>
      <c r="BE5" s="3" t="s">
        <v>66</v>
      </c>
      <c r="BF5" s="3" t="s">
        <v>66</v>
      </c>
      <c r="BG5" s="3" t="s">
        <v>66</v>
      </c>
      <c r="BH5" s="3" t="s">
        <v>66</v>
      </c>
      <c r="BI5" s="3" t="s">
        <v>66</v>
      </c>
      <c r="BJ5" s="3" t="s">
        <v>66</v>
      </c>
      <c r="BK5" s="3" t="s">
        <v>66</v>
      </c>
      <c r="BL5" s="3" t="s">
        <v>66</v>
      </c>
      <c r="BM5" s="3" t="s">
        <v>66</v>
      </c>
      <c r="BN5" s="3" t="s">
        <v>66</v>
      </c>
      <c r="BO5" s="3" t="s">
        <v>66</v>
      </c>
      <c r="BP5" s="3" t="s">
        <v>66</v>
      </c>
      <c r="BQ5" s="3" t="s">
        <v>66</v>
      </c>
      <c r="BR5" s="3" t="s">
        <v>66</v>
      </c>
      <c r="BS5" s="3" t="s">
        <v>66</v>
      </c>
      <c r="BT5" s="3" t="s">
        <v>66</v>
      </c>
      <c r="BU5" s="3" t="s">
        <v>66</v>
      </c>
      <c r="BV5" s="3" t="s">
        <v>66</v>
      </c>
      <c r="BW5" s="3" t="s">
        <v>66</v>
      </c>
      <c r="BX5" s="3" t="s">
        <v>66</v>
      </c>
      <c r="BY5" s="3" t="s">
        <v>66</v>
      </c>
      <c r="BZ5" s="3" t="s">
        <v>66</v>
      </c>
      <c r="CA5" s="3" t="s">
        <v>66</v>
      </c>
      <c r="CB5" s="3" t="s">
        <v>66</v>
      </c>
      <c r="CC5" s="3" t="s">
        <v>66</v>
      </c>
      <c r="CD5" s="3" t="s">
        <v>66</v>
      </c>
      <c r="CE5" s="3" t="s">
        <v>66</v>
      </c>
      <c r="CF5" s="3" t="s">
        <v>66</v>
      </c>
      <c r="CG5" s="3" t="s">
        <v>66</v>
      </c>
      <c r="CH5" s="3" t="s">
        <v>66</v>
      </c>
      <c r="CI5" s="3" t="s">
        <v>66</v>
      </c>
      <c r="CJ5" s="3" t="s">
        <v>66</v>
      </c>
      <c r="CK5" s="3" t="s">
        <v>66</v>
      </c>
      <c r="CL5" s="3" t="s">
        <v>66</v>
      </c>
      <c r="CM5" s="3" t="s">
        <v>66</v>
      </c>
      <c r="CN5" s="3" t="s">
        <v>66</v>
      </c>
      <c r="CO5" s="3" t="s">
        <v>66</v>
      </c>
      <c r="CP5" s="3" t="s">
        <v>66</v>
      </c>
      <c r="CQ5" s="3" t="s">
        <v>66</v>
      </c>
      <c r="CR5" s="3" t="s">
        <v>66</v>
      </c>
      <c r="CS5" s="3" t="s">
        <v>66</v>
      </c>
      <c r="CT5" s="3" t="s">
        <v>66</v>
      </c>
      <c r="CU5" s="3" t="s">
        <v>66</v>
      </c>
      <c r="CV5" s="3" t="s">
        <v>66</v>
      </c>
      <c r="CW5" s="3" t="s">
        <v>66</v>
      </c>
      <c r="CX5" s="3" t="s">
        <v>66</v>
      </c>
      <c r="CY5" s="3" t="s">
        <v>66</v>
      </c>
      <c r="CZ5" s="3" t="s">
        <v>66</v>
      </c>
      <c r="DA5" s="3" t="s">
        <v>66</v>
      </c>
      <c r="DB5" s="3" t="s">
        <v>66</v>
      </c>
      <c r="DC5" s="3" t="s">
        <v>66</v>
      </c>
      <c r="DD5" s="3" t="s">
        <v>66</v>
      </c>
      <c r="DE5" s="3" t="s">
        <v>66</v>
      </c>
      <c r="DF5" s="3" t="s">
        <v>66</v>
      </c>
      <c r="DG5" s="3" t="s">
        <v>66</v>
      </c>
      <c r="DH5" s="3" t="s">
        <v>66</v>
      </c>
      <c r="DI5" s="3" t="s">
        <v>66</v>
      </c>
      <c r="DJ5" s="3" t="s">
        <v>66</v>
      </c>
      <c r="DK5" s="3" t="s">
        <v>66</v>
      </c>
      <c r="DL5" s="3" t="s">
        <v>66</v>
      </c>
      <c r="DM5" s="3" t="s">
        <v>66</v>
      </c>
      <c r="DN5" s="3" t="s">
        <v>66</v>
      </c>
      <c r="DO5" s="3" t="s">
        <v>66</v>
      </c>
      <c r="DP5" s="3" t="s">
        <v>66</v>
      </c>
      <c r="DQ5" s="3" t="s">
        <v>66</v>
      </c>
      <c r="DR5" s="3" t="s">
        <v>66</v>
      </c>
      <c r="DS5" s="3" t="s">
        <v>66</v>
      </c>
      <c r="DT5" s="3" t="s">
        <v>66</v>
      </c>
      <c r="DU5" s="3" t="s">
        <v>66</v>
      </c>
      <c r="DV5" s="3" t="s">
        <v>66</v>
      </c>
      <c r="DW5" s="3" t="s">
        <v>66</v>
      </c>
      <c r="DX5" s="3" t="s">
        <v>66</v>
      </c>
      <c r="DY5" s="3" t="s">
        <v>66</v>
      </c>
      <c r="DZ5" s="3" t="s">
        <v>66</v>
      </c>
      <c r="EA5" s="3" t="s">
        <v>66</v>
      </c>
      <c r="EB5" s="3" t="s">
        <v>66</v>
      </c>
      <c r="EC5" s="3" t="s">
        <v>66</v>
      </c>
      <c r="ED5" s="3" t="s">
        <v>66</v>
      </c>
      <c r="EE5" s="3" t="s">
        <v>66</v>
      </c>
      <c r="EF5" s="3" t="s">
        <v>66</v>
      </c>
      <c r="EG5" s="3" t="s">
        <v>66</v>
      </c>
      <c r="EH5" s="3" t="s">
        <v>66</v>
      </c>
      <c r="EI5" s="3" t="s">
        <v>66</v>
      </c>
      <c r="EJ5" s="3" t="s">
        <v>66</v>
      </c>
      <c r="EK5" s="3" t="s">
        <v>66</v>
      </c>
      <c r="EL5" s="3" t="s">
        <v>66</v>
      </c>
      <c r="EM5" s="3" t="s">
        <v>66</v>
      </c>
      <c r="EN5" s="3" t="s">
        <v>66</v>
      </c>
      <c r="EO5" s="3" t="s">
        <v>66</v>
      </c>
      <c r="EP5" s="3" t="s">
        <v>66</v>
      </c>
      <c r="EQ5" s="3" t="s">
        <v>66</v>
      </c>
      <c r="ER5" s="3" t="s">
        <v>66</v>
      </c>
      <c r="ES5" s="3" t="s">
        <v>66</v>
      </c>
      <c r="ET5" s="3" t="s">
        <v>66</v>
      </c>
      <c r="EU5" s="3" t="s">
        <v>66</v>
      </c>
      <c r="EV5" s="3" t="s">
        <v>66</v>
      </c>
      <c r="EW5" s="3" t="s">
        <v>66</v>
      </c>
      <c r="EX5" s="3" t="s">
        <v>66</v>
      </c>
      <c r="EY5" s="3" t="s">
        <v>66</v>
      </c>
      <c r="EZ5" s="3" t="s">
        <v>66</v>
      </c>
      <c r="FA5" s="3" t="s">
        <v>66</v>
      </c>
      <c r="FB5" s="3" t="s">
        <v>66</v>
      </c>
      <c r="FC5" s="3" t="s">
        <v>66</v>
      </c>
      <c r="FD5" s="3" t="s">
        <v>66</v>
      </c>
      <c r="FE5" s="3" t="s">
        <v>66</v>
      </c>
      <c r="FF5" s="3" t="s">
        <v>66</v>
      </c>
      <c r="FG5" s="3" t="s">
        <v>66</v>
      </c>
      <c r="FH5" s="3" t="s">
        <v>66</v>
      </c>
      <c r="FI5" s="3" t="s">
        <v>66</v>
      </c>
      <c r="FJ5" s="3" t="s">
        <v>66</v>
      </c>
      <c r="FK5" s="3" t="s">
        <v>66</v>
      </c>
      <c r="FL5" s="3" t="s">
        <v>66</v>
      </c>
      <c r="FM5" s="3" t="s">
        <v>66</v>
      </c>
      <c r="FN5" s="3" t="s">
        <v>66</v>
      </c>
      <c r="FO5" s="3" t="s">
        <v>66</v>
      </c>
      <c r="FP5" s="3" t="s">
        <v>66</v>
      </c>
      <c r="FQ5" s="3" t="s">
        <v>66</v>
      </c>
      <c r="FR5" s="3" t="s">
        <v>66</v>
      </c>
      <c r="FS5" s="3" t="s">
        <v>66</v>
      </c>
      <c r="FT5" s="3" t="s">
        <v>66</v>
      </c>
      <c r="FU5" s="3" t="s">
        <v>66</v>
      </c>
      <c r="FV5" s="3" t="s">
        <v>66</v>
      </c>
      <c r="FW5" s="3" t="s">
        <v>66</v>
      </c>
      <c r="FX5" s="3" t="s">
        <v>66</v>
      </c>
      <c r="FY5" s="3" t="s">
        <v>66</v>
      </c>
      <c r="FZ5" s="3" t="s">
        <v>66</v>
      </c>
      <c r="GA5" s="3" t="s">
        <v>66</v>
      </c>
      <c r="GB5" s="3" t="s">
        <v>66</v>
      </c>
      <c r="GC5" s="3" t="s">
        <v>66</v>
      </c>
      <c r="GD5" s="3" t="s">
        <v>66</v>
      </c>
      <c r="GE5" s="3" t="s">
        <v>66</v>
      </c>
      <c r="GF5" s="3" t="s">
        <v>66</v>
      </c>
      <c r="GG5" s="3" t="s">
        <v>66</v>
      </c>
      <c r="GH5" s="3" t="s">
        <v>66</v>
      </c>
      <c r="GI5" s="3" t="s">
        <v>66</v>
      </c>
      <c r="GJ5" s="3" t="s">
        <v>66</v>
      </c>
      <c r="GK5" s="3" t="s">
        <v>66</v>
      </c>
      <c r="GL5" s="3" t="s">
        <v>66</v>
      </c>
      <c r="GM5" s="3" t="s">
        <v>66</v>
      </c>
      <c r="GN5" s="3" t="s">
        <v>66</v>
      </c>
      <c r="GO5" s="3" t="s">
        <v>66</v>
      </c>
      <c r="GP5" s="3" t="s">
        <v>66</v>
      </c>
      <c r="GQ5" s="3" t="s">
        <v>66</v>
      </c>
      <c r="GR5" s="3" t="s">
        <v>66</v>
      </c>
      <c r="GS5" s="3" t="s">
        <v>66</v>
      </c>
      <c r="GT5" s="3" t="s">
        <v>66</v>
      </c>
      <c r="GU5" s="3" t="s">
        <v>66</v>
      </c>
      <c r="GV5" s="3" t="s">
        <v>66</v>
      </c>
      <c r="GW5" s="3" t="s">
        <v>66</v>
      </c>
      <c r="GX5" s="3" t="s">
        <v>66</v>
      </c>
      <c r="GY5" s="3" t="s">
        <v>66</v>
      </c>
      <c r="GZ5" s="3" t="s">
        <v>66</v>
      </c>
      <c r="HA5" s="3" t="s">
        <v>66</v>
      </c>
      <c r="HB5" s="3" t="s">
        <v>66</v>
      </c>
      <c r="HC5" s="3" t="s">
        <v>66</v>
      </c>
      <c r="HD5" s="3" t="s">
        <v>66</v>
      </c>
      <c r="HE5" s="3" t="s">
        <v>66</v>
      </c>
      <c r="HF5" s="3" t="s">
        <v>66</v>
      </c>
      <c r="HG5" s="3" t="s">
        <v>66</v>
      </c>
      <c r="HH5" s="3" t="s">
        <v>66</v>
      </c>
      <c r="HI5" s="3" t="s">
        <v>66</v>
      </c>
      <c r="HJ5" s="3" t="s">
        <v>66</v>
      </c>
      <c r="HK5" s="3" t="s">
        <v>66</v>
      </c>
      <c r="HL5" s="3" t="s">
        <v>66</v>
      </c>
      <c r="HM5" s="3" t="s">
        <v>66</v>
      </c>
      <c r="HN5" s="3" t="s">
        <v>66</v>
      </c>
      <c r="HO5" s="3" t="s">
        <v>66</v>
      </c>
      <c r="HP5" s="3" t="s">
        <v>66</v>
      </c>
      <c r="HQ5" s="3" t="s">
        <v>66</v>
      </c>
      <c r="HR5" s="3" t="s">
        <v>66</v>
      </c>
      <c r="HS5" s="3" t="s">
        <v>66</v>
      </c>
      <c r="HT5" s="3" t="s">
        <v>66</v>
      </c>
      <c r="HU5" s="3" t="s">
        <v>66</v>
      </c>
      <c r="HV5" s="3" t="s">
        <v>66</v>
      </c>
      <c r="HW5" s="3" t="s">
        <v>66</v>
      </c>
      <c r="HX5" s="3" t="s">
        <v>66</v>
      </c>
      <c r="HY5" s="3" t="s">
        <v>66</v>
      </c>
      <c r="HZ5" s="3" t="s">
        <v>66</v>
      </c>
      <c r="IA5" s="3" t="s">
        <v>66</v>
      </c>
      <c r="IB5" s="3" t="s">
        <v>66</v>
      </c>
      <c r="IC5" s="3" t="s">
        <v>66</v>
      </c>
      <c r="ID5" s="3" t="s">
        <v>66</v>
      </c>
      <c r="IE5" s="3" t="s">
        <v>66</v>
      </c>
      <c r="IF5" s="3" t="s">
        <v>66</v>
      </c>
      <c r="IG5" s="3" t="s">
        <v>66</v>
      </c>
      <c r="IH5" s="3" t="s">
        <v>66</v>
      </c>
      <c r="II5" s="3" t="s">
        <v>66</v>
      </c>
      <c r="IJ5" s="3" t="s">
        <v>66</v>
      </c>
      <c r="IK5" s="3" t="s">
        <v>66</v>
      </c>
      <c r="IL5" s="3" t="s">
        <v>66</v>
      </c>
      <c r="IM5" s="3" t="s">
        <v>66</v>
      </c>
      <c r="IN5" s="3" t="s">
        <v>66</v>
      </c>
      <c r="IO5" s="3" t="s">
        <v>66</v>
      </c>
      <c r="IP5" s="3" t="s">
        <v>66</v>
      </c>
      <c r="IQ5" s="3" t="s">
        <v>66</v>
      </c>
      <c r="IR5" s="3" t="s">
        <v>66</v>
      </c>
      <c r="IS5" s="3" t="s">
        <v>66</v>
      </c>
      <c r="IT5" s="3" t="s">
        <v>66</v>
      </c>
      <c r="IU5" s="3" t="s">
        <v>66</v>
      </c>
      <c r="IV5" s="3" t="s">
        <v>66</v>
      </c>
      <c r="IW5" s="3" t="s">
        <v>66</v>
      </c>
      <c r="IX5" s="3" t="s">
        <v>66</v>
      </c>
      <c r="IY5" s="3" t="s">
        <v>66</v>
      </c>
      <c r="IZ5" s="3" t="s">
        <v>66</v>
      </c>
      <c r="JA5" s="3" t="s">
        <v>66</v>
      </c>
      <c r="JB5" s="3" t="s">
        <v>66</v>
      </c>
      <c r="JC5" s="3" t="s">
        <v>66</v>
      </c>
      <c r="JD5" s="3" t="s">
        <v>66</v>
      </c>
      <c r="JE5" s="3" t="s">
        <v>66</v>
      </c>
      <c r="JF5" s="3" t="s">
        <v>66</v>
      </c>
      <c r="JG5" s="3" t="s">
        <v>66</v>
      </c>
      <c r="JH5" s="3" t="s">
        <v>66</v>
      </c>
      <c r="JI5" s="3" t="s">
        <v>66</v>
      </c>
      <c r="JJ5" s="3" t="s">
        <v>66</v>
      </c>
      <c r="JK5" s="3" t="s">
        <v>66</v>
      </c>
      <c r="JL5" s="3" t="s">
        <v>66</v>
      </c>
      <c r="JM5" s="3" t="s">
        <v>66</v>
      </c>
      <c r="JN5" s="3" t="s">
        <v>66</v>
      </c>
      <c r="JO5" s="3" t="s">
        <v>66</v>
      </c>
      <c r="JP5" s="3" t="s">
        <v>66</v>
      </c>
      <c r="JQ5" s="3" t="s">
        <v>66</v>
      </c>
      <c r="JR5" s="3" t="s">
        <v>66</v>
      </c>
      <c r="JS5" s="3" t="s">
        <v>66</v>
      </c>
      <c r="JT5" s="3" t="s">
        <v>66</v>
      </c>
      <c r="JU5" s="3" t="s">
        <v>66</v>
      </c>
      <c r="JV5" s="3" t="s">
        <v>66</v>
      </c>
      <c r="JW5" s="3" t="s">
        <v>66</v>
      </c>
      <c r="JX5" s="3" t="s">
        <v>66</v>
      </c>
      <c r="JY5" s="3" t="s">
        <v>66</v>
      </c>
      <c r="JZ5" s="3" t="s">
        <v>66</v>
      </c>
      <c r="KA5" s="3" t="s">
        <v>66</v>
      </c>
      <c r="KB5" s="3" t="s">
        <v>66</v>
      </c>
      <c r="KC5" s="3" t="s">
        <v>66</v>
      </c>
      <c r="KD5" s="3" t="s">
        <v>66</v>
      </c>
      <c r="KE5" s="3" t="s">
        <v>66</v>
      </c>
      <c r="KF5" s="3" t="s">
        <v>66</v>
      </c>
      <c r="KG5" s="3" t="s">
        <v>66</v>
      </c>
      <c r="KH5" s="3" t="s">
        <v>66</v>
      </c>
      <c r="KI5" s="3" t="s">
        <v>66</v>
      </c>
      <c r="KJ5" s="3" t="s">
        <v>66</v>
      </c>
      <c r="KK5" s="3" t="s">
        <v>66</v>
      </c>
      <c r="KL5" s="3" t="s">
        <v>66</v>
      </c>
      <c r="KM5" s="3" t="s">
        <v>66</v>
      </c>
      <c r="KN5" s="3" t="s">
        <v>66</v>
      </c>
      <c r="KO5" s="3" t="s">
        <v>66</v>
      </c>
      <c r="KP5" s="3" t="s">
        <v>66</v>
      </c>
      <c r="KQ5" s="3" t="s">
        <v>66</v>
      </c>
      <c r="KR5" s="3" t="s">
        <v>66</v>
      </c>
      <c r="KS5" s="3" t="s">
        <v>66</v>
      </c>
      <c r="KT5" s="3" t="s">
        <v>66</v>
      </c>
      <c r="KU5" s="3" t="s">
        <v>66</v>
      </c>
      <c r="KV5" s="3" t="s">
        <v>66</v>
      </c>
      <c r="KW5" s="3" t="s">
        <v>66</v>
      </c>
      <c r="KX5" s="3" t="s">
        <v>66</v>
      </c>
      <c r="KY5" s="3" t="s">
        <v>66</v>
      </c>
      <c r="KZ5" s="3" t="s">
        <v>66</v>
      </c>
      <c r="LA5" s="3" t="s">
        <v>66</v>
      </c>
      <c r="LB5" s="3" t="s">
        <v>66</v>
      </c>
      <c r="LC5" s="3" t="s">
        <v>66</v>
      </c>
      <c r="LD5" s="3" t="s">
        <v>66</v>
      </c>
      <c r="LE5" s="3" t="s">
        <v>66</v>
      </c>
      <c r="LF5" s="3" t="s">
        <v>66</v>
      </c>
      <c r="LG5" s="3" t="s">
        <v>66</v>
      </c>
      <c r="LH5" s="3" t="s">
        <v>66</v>
      </c>
      <c r="LI5" s="3" t="s">
        <v>66</v>
      </c>
      <c r="LJ5" s="3" t="s">
        <v>66</v>
      </c>
      <c r="LK5" s="3" t="s">
        <v>66</v>
      </c>
      <c r="LL5" s="3" t="s">
        <v>66</v>
      </c>
      <c r="LM5" s="3" t="s">
        <v>66</v>
      </c>
      <c r="LN5" s="3" t="s">
        <v>66</v>
      </c>
      <c r="LO5" s="3" t="s">
        <v>66</v>
      </c>
      <c r="LP5" s="3" t="s">
        <v>66</v>
      </c>
      <c r="LQ5" s="3" t="s">
        <v>66</v>
      </c>
      <c r="LR5" s="3" t="s">
        <v>66</v>
      </c>
      <c r="LS5" s="3" t="s">
        <v>66</v>
      </c>
      <c r="LT5" s="3" t="s">
        <v>66</v>
      </c>
      <c r="LU5" s="3" t="s">
        <v>66</v>
      </c>
      <c r="LV5" s="3" t="s">
        <v>66</v>
      </c>
      <c r="LW5" s="3" t="s">
        <v>66</v>
      </c>
      <c r="LX5" s="3" t="s">
        <v>66</v>
      </c>
      <c r="LY5" s="3" t="s">
        <v>66</v>
      </c>
      <c r="LZ5" s="3" t="s">
        <v>66</v>
      </c>
      <c r="MA5" s="3" t="s">
        <v>66</v>
      </c>
      <c r="MB5" s="3" t="s">
        <v>66</v>
      </c>
      <c r="MC5" s="3" t="s">
        <v>66</v>
      </c>
      <c r="MD5" s="3" t="s">
        <v>66</v>
      </c>
      <c r="ME5" s="3" t="s">
        <v>66</v>
      </c>
      <c r="MF5" s="3" t="s">
        <v>66</v>
      </c>
      <c r="MG5" s="3" t="s">
        <v>66</v>
      </c>
      <c r="MH5" s="3" t="s">
        <v>66</v>
      </c>
      <c r="MI5" s="3" t="s">
        <v>66</v>
      </c>
      <c r="MJ5" s="3" t="s">
        <v>66</v>
      </c>
      <c r="MK5" s="3" t="s">
        <v>66</v>
      </c>
      <c r="ML5" s="3" t="s">
        <v>66</v>
      </c>
      <c r="MM5" s="3" t="s">
        <v>66</v>
      </c>
      <c r="MN5" s="3" t="s">
        <v>66</v>
      </c>
      <c r="MO5" s="3" t="s">
        <v>66</v>
      </c>
      <c r="MP5" s="3" t="s">
        <v>66</v>
      </c>
      <c r="MQ5" s="3" t="s">
        <v>66</v>
      </c>
      <c r="MR5" s="3" t="s">
        <v>66</v>
      </c>
      <c r="MS5" s="3" t="s">
        <v>66</v>
      </c>
      <c r="MT5" s="3" t="s">
        <v>66</v>
      </c>
      <c r="MU5" s="3" t="s">
        <v>66</v>
      </c>
      <c r="MV5" s="3" t="s">
        <v>66</v>
      </c>
      <c r="MW5" s="3" t="s">
        <v>66</v>
      </c>
      <c r="MX5" s="3" t="s">
        <v>66</v>
      </c>
      <c r="MY5" s="3" t="s">
        <v>66</v>
      </c>
      <c r="MZ5" s="3" t="s">
        <v>66</v>
      </c>
      <c r="NA5" s="3" t="s">
        <v>66</v>
      </c>
      <c r="NB5" s="3" t="s">
        <v>66</v>
      </c>
      <c r="NC5" s="3" t="s">
        <v>66</v>
      </c>
      <c r="ND5" s="3" t="s">
        <v>66</v>
      </c>
      <c r="NE5" s="3" t="s">
        <v>66</v>
      </c>
      <c r="NF5" s="3" t="s">
        <v>66</v>
      </c>
      <c r="NG5" s="3">
        <f t="shared" si="1"/>
        <v>364</v>
      </c>
      <c r="NH5" s="3">
        <f t="shared" si="2"/>
        <v>1</v>
      </c>
      <c r="NI5" s="3">
        <f t="shared" si="3"/>
        <v>0</v>
      </c>
    </row>
    <row r="6">
      <c r="A6" s="3" t="str">
        <f>'0_Key'!A5</f>
        <v>Medium</v>
      </c>
      <c r="B6" s="3" t="str">
        <f>'0_Key'!B5</f>
        <v>Mental</v>
      </c>
      <c r="C6" s="3" t="str">
        <f>'0_Key'!D5</f>
        <v>Weekly</v>
      </c>
      <c r="D6" s="3" t="str">
        <f>'0_Key'!E5</f>
        <v>Wed</v>
      </c>
      <c r="E6" s="3" t="str">
        <f>'0_Key'!C5</f>
        <v>Journaling</v>
      </c>
      <c r="F6" s="3" t="s">
        <v>67</v>
      </c>
      <c r="M6" s="3" t="s">
        <v>66</v>
      </c>
      <c r="T6" s="3" t="s">
        <v>66</v>
      </c>
      <c r="AA6" s="3" t="s">
        <v>66</v>
      </c>
      <c r="AH6" s="3" t="s">
        <v>66</v>
      </c>
      <c r="AV6" s="3" t="s">
        <v>66</v>
      </c>
      <c r="BC6" s="3" t="s">
        <v>66</v>
      </c>
      <c r="BJ6" s="3" t="s">
        <v>66</v>
      </c>
      <c r="BQ6" s="3" t="s">
        <v>66</v>
      </c>
      <c r="BX6" s="3" t="s">
        <v>66</v>
      </c>
      <c r="CE6" s="3" t="s">
        <v>66</v>
      </c>
      <c r="CL6" s="3" t="s">
        <v>66</v>
      </c>
      <c r="CS6" s="3" t="s">
        <v>66</v>
      </c>
      <c r="CZ6" s="3" t="s">
        <v>66</v>
      </c>
      <c r="DG6" s="3" t="s">
        <v>66</v>
      </c>
      <c r="DN6" s="3" t="s">
        <v>66</v>
      </c>
      <c r="DU6" s="3" t="s">
        <v>66</v>
      </c>
      <c r="EB6" s="3" t="s">
        <v>66</v>
      </c>
      <c r="EI6" s="3" t="s">
        <v>66</v>
      </c>
      <c r="EP6" s="3" t="s">
        <v>66</v>
      </c>
      <c r="EW6" s="3" t="s">
        <v>66</v>
      </c>
      <c r="FD6" s="3" t="s">
        <v>66</v>
      </c>
      <c r="FK6" s="3" t="s">
        <v>66</v>
      </c>
      <c r="FR6" s="3" t="s">
        <v>66</v>
      </c>
      <c r="FY6" s="3" t="s">
        <v>66</v>
      </c>
      <c r="GF6" s="3" t="s">
        <v>66</v>
      </c>
      <c r="GM6" s="3" t="s">
        <v>66</v>
      </c>
      <c r="GT6" s="3" t="s">
        <v>66</v>
      </c>
      <c r="HA6" s="3" t="s">
        <v>66</v>
      </c>
      <c r="HH6" s="3" t="s">
        <v>66</v>
      </c>
      <c r="HO6" s="3" t="s">
        <v>66</v>
      </c>
      <c r="HV6" s="3" t="s">
        <v>66</v>
      </c>
      <c r="IC6" s="3" t="s">
        <v>66</v>
      </c>
      <c r="IJ6" s="3" t="s">
        <v>66</v>
      </c>
      <c r="IQ6" s="3" t="s">
        <v>66</v>
      </c>
      <c r="IX6" s="3" t="s">
        <v>66</v>
      </c>
      <c r="JE6" s="3" t="s">
        <v>66</v>
      </c>
      <c r="JL6" s="3" t="s">
        <v>66</v>
      </c>
      <c r="JS6" s="3" t="s">
        <v>66</v>
      </c>
      <c r="JZ6" s="3" t="s">
        <v>66</v>
      </c>
      <c r="KG6" s="3" t="s">
        <v>66</v>
      </c>
      <c r="KN6" s="3" t="s">
        <v>66</v>
      </c>
      <c r="KU6" s="3" t="s">
        <v>66</v>
      </c>
      <c r="LB6" s="3" t="s">
        <v>66</v>
      </c>
      <c r="LI6" s="3" t="s">
        <v>66</v>
      </c>
      <c r="LP6" s="3" t="s">
        <v>66</v>
      </c>
      <c r="LW6" s="3" t="s">
        <v>66</v>
      </c>
      <c r="MD6" s="3" t="s">
        <v>66</v>
      </c>
      <c r="MK6" s="3" t="s">
        <v>66</v>
      </c>
      <c r="MR6" s="3" t="s">
        <v>66</v>
      </c>
      <c r="MY6" s="3" t="s">
        <v>66</v>
      </c>
      <c r="NF6" s="3" t="s">
        <v>66</v>
      </c>
      <c r="NG6" s="3">
        <f t="shared" si="1"/>
        <v>51</v>
      </c>
      <c r="NH6" s="3">
        <f t="shared" si="2"/>
        <v>1</v>
      </c>
      <c r="NI6" s="3">
        <f t="shared" si="3"/>
        <v>0</v>
      </c>
    </row>
    <row r="7">
      <c r="A7" s="3" t="str">
        <f>'0_Key'!A6</f>
        <v>Medium</v>
      </c>
      <c r="B7" s="3" t="str">
        <f>'0_Key'!B6</f>
        <v>Horticultural</v>
      </c>
      <c r="C7" s="3" t="str">
        <f>'0_Key'!D6</f>
        <v>Weekly</v>
      </c>
      <c r="D7" s="3" t="str">
        <f>'0_Key'!E6</f>
        <v>Fri</v>
      </c>
      <c r="E7" s="3" t="str">
        <f>'0_Key'!C6</f>
        <v>Water Plants</v>
      </c>
      <c r="H7" s="3" t="s">
        <v>66</v>
      </c>
      <c r="O7" s="3" t="s">
        <v>66</v>
      </c>
      <c r="V7" s="3" t="s">
        <v>66</v>
      </c>
      <c r="AC7" s="3" t="s">
        <v>66</v>
      </c>
      <c r="AJ7" s="3" t="s">
        <v>66</v>
      </c>
      <c r="AQ7" s="3" t="s">
        <v>66</v>
      </c>
      <c r="AX7" s="3" t="s">
        <v>66</v>
      </c>
      <c r="BE7" s="3" t="s">
        <v>66</v>
      </c>
      <c r="BL7" s="3" t="s">
        <v>66</v>
      </c>
      <c r="BS7" s="3" t="s">
        <v>66</v>
      </c>
      <c r="BZ7" s="3" t="s">
        <v>66</v>
      </c>
      <c r="CG7" s="3" t="s">
        <v>66</v>
      </c>
      <c r="CN7" s="3" t="s">
        <v>66</v>
      </c>
      <c r="CU7" s="3" t="s">
        <v>66</v>
      </c>
      <c r="DB7" s="3" t="s">
        <v>66</v>
      </c>
      <c r="DI7" s="3" t="s">
        <v>66</v>
      </c>
      <c r="DP7" s="3" t="s">
        <v>66</v>
      </c>
      <c r="DW7" s="3" t="s">
        <v>66</v>
      </c>
      <c r="ED7" s="3" t="s">
        <v>66</v>
      </c>
      <c r="EK7" s="3" t="s">
        <v>66</v>
      </c>
      <c r="ER7" s="3" t="s">
        <v>66</v>
      </c>
      <c r="EY7" s="3" t="s">
        <v>66</v>
      </c>
      <c r="FF7" s="3" t="s">
        <v>66</v>
      </c>
      <c r="FM7" s="3" t="s">
        <v>66</v>
      </c>
      <c r="FT7" s="3" t="s">
        <v>66</v>
      </c>
      <c r="GA7" s="3" t="s">
        <v>66</v>
      </c>
      <c r="GH7" s="3" t="s">
        <v>66</v>
      </c>
      <c r="GO7" s="3" t="s">
        <v>66</v>
      </c>
      <c r="GV7" s="3" t="s">
        <v>66</v>
      </c>
      <c r="HC7" s="3" t="s">
        <v>66</v>
      </c>
      <c r="HJ7" s="3" t="s">
        <v>66</v>
      </c>
      <c r="HQ7" s="3" t="s">
        <v>66</v>
      </c>
      <c r="HX7" s="3" t="s">
        <v>66</v>
      </c>
      <c r="IE7" s="3" t="s">
        <v>66</v>
      </c>
      <c r="IL7" s="3" t="s">
        <v>66</v>
      </c>
      <c r="IS7" s="3" t="s">
        <v>66</v>
      </c>
      <c r="IZ7" s="3" t="s">
        <v>66</v>
      </c>
      <c r="JG7" s="3" t="s">
        <v>66</v>
      </c>
      <c r="JN7" s="3" t="s">
        <v>66</v>
      </c>
      <c r="JU7" s="3" t="s">
        <v>66</v>
      </c>
      <c r="KB7" s="3" t="s">
        <v>66</v>
      </c>
      <c r="KI7" s="3" t="s">
        <v>66</v>
      </c>
      <c r="KP7" s="3" t="s">
        <v>66</v>
      </c>
      <c r="KW7" s="3" t="s">
        <v>66</v>
      </c>
      <c r="LD7" s="3" t="s">
        <v>66</v>
      </c>
      <c r="LK7" s="3" t="s">
        <v>66</v>
      </c>
      <c r="LR7" s="3" t="s">
        <v>66</v>
      </c>
      <c r="LY7" s="3" t="s">
        <v>66</v>
      </c>
      <c r="MF7" s="3" t="s">
        <v>66</v>
      </c>
      <c r="MM7" s="3" t="s">
        <v>66</v>
      </c>
      <c r="MT7" s="3" t="s">
        <v>66</v>
      </c>
      <c r="NA7" s="3" t="s">
        <v>66</v>
      </c>
      <c r="NG7" s="3">
        <f t="shared" si="1"/>
        <v>52</v>
      </c>
      <c r="NH7" s="3">
        <f t="shared" si="2"/>
        <v>0</v>
      </c>
      <c r="NI7" s="3">
        <f t="shared" si="3"/>
        <v>0</v>
      </c>
    </row>
    <row r="8">
      <c r="A8" s="3" t="str">
        <f>'0_Key'!A7</f>
        <v>Medium</v>
      </c>
      <c r="B8" s="3" t="str">
        <f>'0_Key'!B7</f>
        <v>Creative</v>
      </c>
      <c r="C8" s="3" t="str">
        <f>'0_Key'!D7</f>
        <v>Weekly</v>
      </c>
      <c r="D8" s="3" t="str">
        <f>'0_Key'!E7</f>
        <v>Fri-Mon</v>
      </c>
      <c r="E8" s="3" t="str">
        <f>'0_Key'!C7</f>
        <v>SmallBiz / Media Production</v>
      </c>
      <c r="H8" s="3" t="s">
        <v>66</v>
      </c>
      <c r="I8" s="3" t="s">
        <v>66</v>
      </c>
      <c r="J8" s="3" t="s">
        <v>66</v>
      </c>
      <c r="K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X8" s="3" t="s">
        <v>66</v>
      </c>
      <c r="AY8" s="3" t="s">
        <v>66</v>
      </c>
      <c r="AZ8" s="3" t="s">
        <v>66</v>
      </c>
      <c r="BA8" s="3" t="s">
        <v>66</v>
      </c>
      <c r="BL8" s="3" t="s">
        <v>66</v>
      </c>
      <c r="BM8" s="3" t="s">
        <v>66</v>
      </c>
      <c r="BN8" s="3" t="s">
        <v>66</v>
      </c>
      <c r="BO8" s="3" t="s">
        <v>66</v>
      </c>
      <c r="BZ8" s="3" t="s">
        <v>66</v>
      </c>
      <c r="CA8" s="3" t="s">
        <v>66</v>
      </c>
      <c r="CB8" s="3" t="s">
        <v>66</v>
      </c>
      <c r="CC8" s="3" t="s">
        <v>66</v>
      </c>
      <c r="CN8" s="3" t="s">
        <v>66</v>
      </c>
      <c r="CO8" s="3" t="s">
        <v>66</v>
      </c>
      <c r="CP8" s="3" t="s">
        <v>66</v>
      </c>
      <c r="CQ8" s="3" t="s">
        <v>66</v>
      </c>
      <c r="DB8" s="3" t="s">
        <v>66</v>
      </c>
      <c r="DC8" s="3" t="s">
        <v>66</v>
      </c>
      <c r="DD8" s="3" t="s">
        <v>66</v>
      </c>
      <c r="DE8" s="3" t="s">
        <v>66</v>
      </c>
      <c r="DP8" s="3" t="s">
        <v>66</v>
      </c>
      <c r="DQ8" s="3" t="s">
        <v>66</v>
      </c>
      <c r="DR8" s="3" t="s">
        <v>66</v>
      </c>
      <c r="DS8" s="3" t="s">
        <v>66</v>
      </c>
      <c r="ED8" s="3" t="s">
        <v>66</v>
      </c>
      <c r="EE8" s="3" t="s">
        <v>66</v>
      </c>
      <c r="EF8" s="3" t="s">
        <v>66</v>
      </c>
      <c r="EG8" s="3" t="s">
        <v>66</v>
      </c>
      <c r="ER8" s="3" t="s">
        <v>66</v>
      </c>
      <c r="ES8" s="3" t="s">
        <v>66</v>
      </c>
      <c r="ET8" s="3" t="s">
        <v>66</v>
      </c>
      <c r="EU8" s="3" t="s">
        <v>66</v>
      </c>
      <c r="FF8" s="3" t="s">
        <v>66</v>
      </c>
      <c r="FG8" s="3" t="s">
        <v>66</v>
      </c>
      <c r="FH8" s="3" t="s">
        <v>66</v>
      </c>
      <c r="FI8" s="3" t="s">
        <v>66</v>
      </c>
      <c r="FT8" s="3" t="s">
        <v>66</v>
      </c>
      <c r="FU8" s="3" t="s">
        <v>66</v>
      </c>
      <c r="FV8" s="3" t="s">
        <v>66</v>
      </c>
      <c r="FW8" s="3" t="s">
        <v>66</v>
      </c>
      <c r="GH8" s="3" t="s">
        <v>66</v>
      </c>
      <c r="GI8" s="3" t="s">
        <v>66</v>
      </c>
      <c r="GJ8" s="3" t="s">
        <v>66</v>
      </c>
      <c r="GK8" s="3" t="s">
        <v>66</v>
      </c>
      <c r="GV8" s="3" t="s">
        <v>66</v>
      </c>
      <c r="GW8" s="3" t="s">
        <v>66</v>
      </c>
      <c r="GX8" s="3" t="s">
        <v>66</v>
      </c>
      <c r="GY8" s="3" t="s">
        <v>66</v>
      </c>
      <c r="HJ8" s="3" t="s">
        <v>66</v>
      </c>
      <c r="HK8" s="3" t="s">
        <v>66</v>
      </c>
      <c r="HL8" s="3" t="s">
        <v>66</v>
      </c>
      <c r="HM8" s="3" t="s">
        <v>66</v>
      </c>
      <c r="HX8" s="3" t="s">
        <v>66</v>
      </c>
      <c r="HY8" s="3" t="s">
        <v>66</v>
      </c>
      <c r="HZ8" s="3" t="s">
        <v>66</v>
      </c>
      <c r="IA8" s="3" t="s">
        <v>66</v>
      </c>
      <c r="IL8" s="3" t="s">
        <v>66</v>
      </c>
      <c r="IM8" s="3" t="s">
        <v>66</v>
      </c>
      <c r="IN8" s="3" t="s">
        <v>66</v>
      </c>
      <c r="IO8" s="3" t="s">
        <v>66</v>
      </c>
      <c r="IZ8" s="3" t="s">
        <v>66</v>
      </c>
      <c r="JA8" s="3" t="s">
        <v>66</v>
      </c>
      <c r="JB8" s="3" t="s">
        <v>66</v>
      </c>
      <c r="JC8" s="3" t="s">
        <v>66</v>
      </c>
      <c r="JN8" s="3" t="s">
        <v>66</v>
      </c>
      <c r="JO8" s="3" t="s">
        <v>66</v>
      </c>
      <c r="JP8" s="3" t="s">
        <v>66</v>
      </c>
      <c r="JQ8" s="3" t="s">
        <v>66</v>
      </c>
      <c r="KB8" s="3" t="s">
        <v>66</v>
      </c>
      <c r="KC8" s="3" t="s">
        <v>66</v>
      </c>
      <c r="KD8" s="3" t="s">
        <v>66</v>
      </c>
      <c r="KE8" s="3" t="s">
        <v>66</v>
      </c>
      <c r="KP8" s="3" t="s">
        <v>66</v>
      </c>
      <c r="KQ8" s="3" t="s">
        <v>66</v>
      </c>
      <c r="KR8" s="3" t="s">
        <v>66</v>
      </c>
      <c r="KS8" s="3" t="s">
        <v>66</v>
      </c>
      <c r="LD8" s="3" t="s">
        <v>66</v>
      </c>
      <c r="LE8" s="3" t="s">
        <v>66</v>
      </c>
      <c r="LF8" s="3" t="s">
        <v>66</v>
      </c>
      <c r="LG8" s="3" t="s">
        <v>66</v>
      </c>
      <c r="LR8" s="3" t="s">
        <v>66</v>
      </c>
      <c r="LS8" s="3" t="s">
        <v>66</v>
      </c>
      <c r="LT8" s="3" t="s">
        <v>66</v>
      </c>
      <c r="LU8" s="3" t="s">
        <v>66</v>
      </c>
      <c r="MF8" s="3" t="s">
        <v>66</v>
      </c>
      <c r="MG8" s="3" t="s">
        <v>66</v>
      </c>
      <c r="MH8" s="3" t="s">
        <v>66</v>
      </c>
      <c r="MI8" s="3" t="s">
        <v>66</v>
      </c>
      <c r="MM8" s="3" t="s">
        <v>66</v>
      </c>
      <c r="MN8" s="3" t="s">
        <v>66</v>
      </c>
      <c r="MO8" s="3" t="s">
        <v>66</v>
      </c>
      <c r="MP8" s="3" t="s">
        <v>66</v>
      </c>
      <c r="MT8" s="3" t="s">
        <v>66</v>
      </c>
      <c r="MU8" s="3" t="s">
        <v>66</v>
      </c>
      <c r="MV8" s="3" t="s">
        <v>66</v>
      </c>
      <c r="MW8" s="3" t="s">
        <v>66</v>
      </c>
      <c r="NA8" s="3" t="s">
        <v>66</v>
      </c>
      <c r="NB8" s="3" t="s">
        <v>66</v>
      </c>
      <c r="NC8" s="3" t="s">
        <v>66</v>
      </c>
      <c r="ND8" s="3" t="s">
        <v>66</v>
      </c>
      <c r="NG8" s="3">
        <f t="shared" si="1"/>
        <v>112</v>
      </c>
      <c r="NH8" s="3">
        <f t="shared" si="2"/>
        <v>0</v>
      </c>
      <c r="NI8" s="3">
        <f t="shared" si="3"/>
        <v>0</v>
      </c>
    </row>
    <row r="9">
      <c r="A9" s="3" t="str">
        <f>'0_Key'!A8</f>
        <v>Medium</v>
      </c>
      <c r="B9" s="3" t="str">
        <f>'0_Key'!B8</f>
        <v>Extracurricular</v>
      </c>
      <c r="C9" s="3" t="str">
        <f>'0_Key'!D8</f>
        <v>Weekly</v>
      </c>
      <c r="D9" s="3" t="str">
        <f>'0_Key'!E8</f>
        <v>Sat</v>
      </c>
      <c r="E9" s="3" t="str">
        <f>'0_Key'!C8</f>
        <v>Drone</v>
      </c>
      <c r="I9" s="3" t="s">
        <v>66</v>
      </c>
      <c r="P9" s="3" t="s">
        <v>66</v>
      </c>
      <c r="W9" s="3" t="s">
        <v>66</v>
      </c>
      <c r="AD9" s="3" t="s">
        <v>66</v>
      </c>
      <c r="AK9" s="3" t="s">
        <v>66</v>
      </c>
      <c r="AR9" s="3" t="s">
        <v>66</v>
      </c>
      <c r="AY9" s="3" t="s">
        <v>66</v>
      </c>
      <c r="BF9" s="3" t="s">
        <v>66</v>
      </c>
      <c r="BM9" s="3" t="s">
        <v>66</v>
      </c>
      <c r="BT9" s="3" t="s">
        <v>66</v>
      </c>
      <c r="CA9" s="3" t="s">
        <v>66</v>
      </c>
      <c r="CH9" s="3" t="s">
        <v>66</v>
      </c>
      <c r="CO9" s="3" t="s">
        <v>66</v>
      </c>
      <c r="CV9" s="3" t="s">
        <v>66</v>
      </c>
      <c r="DC9" s="3" t="s">
        <v>66</v>
      </c>
      <c r="DJ9" s="3" t="s">
        <v>66</v>
      </c>
      <c r="DQ9" s="3" t="s">
        <v>66</v>
      </c>
      <c r="DX9" s="3" t="s">
        <v>66</v>
      </c>
      <c r="EE9" s="3" t="s">
        <v>66</v>
      </c>
      <c r="EL9" s="3" t="s">
        <v>66</v>
      </c>
      <c r="ES9" s="3" t="s">
        <v>66</v>
      </c>
      <c r="EZ9" s="3" t="s">
        <v>66</v>
      </c>
      <c r="FG9" s="3" t="s">
        <v>66</v>
      </c>
      <c r="FN9" s="3" t="s">
        <v>66</v>
      </c>
      <c r="FU9" s="3" t="s">
        <v>66</v>
      </c>
      <c r="GB9" s="3" t="s">
        <v>66</v>
      </c>
      <c r="GI9" s="3" t="s">
        <v>66</v>
      </c>
      <c r="GP9" s="3" t="s">
        <v>66</v>
      </c>
      <c r="GW9" s="3" t="s">
        <v>66</v>
      </c>
      <c r="HD9" s="3" t="s">
        <v>66</v>
      </c>
      <c r="HK9" s="3" t="s">
        <v>66</v>
      </c>
      <c r="HR9" s="3" t="s">
        <v>66</v>
      </c>
      <c r="HY9" s="3" t="s">
        <v>66</v>
      </c>
      <c r="IF9" s="3" t="s">
        <v>66</v>
      </c>
      <c r="IM9" s="3" t="s">
        <v>66</v>
      </c>
      <c r="IT9" s="3" t="s">
        <v>66</v>
      </c>
      <c r="JA9" s="3" t="s">
        <v>66</v>
      </c>
      <c r="JH9" s="3" t="s">
        <v>66</v>
      </c>
      <c r="JO9" s="3" t="s">
        <v>66</v>
      </c>
      <c r="JV9" s="3" t="s">
        <v>66</v>
      </c>
      <c r="KC9" s="3" t="s">
        <v>66</v>
      </c>
      <c r="KJ9" s="3" t="s">
        <v>66</v>
      </c>
      <c r="KQ9" s="3" t="s">
        <v>66</v>
      </c>
      <c r="KX9" s="3" t="s">
        <v>66</v>
      </c>
      <c r="LE9" s="3" t="s">
        <v>66</v>
      </c>
      <c r="LL9" s="3" t="s">
        <v>66</v>
      </c>
      <c r="LS9" s="3" t="s">
        <v>66</v>
      </c>
      <c r="LZ9" s="3" t="s">
        <v>66</v>
      </c>
      <c r="MG9" s="3" t="s">
        <v>66</v>
      </c>
      <c r="MN9" s="3" t="s">
        <v>66</v>
      </c>
      <c r="MU9" s="3" t="s">
        <v>66</v>
      </c>
      <c r="NB9" s="3" t="s">
        <v>66</v>
      </c>
      <c r="NG9" s="3">
        <f t="shared" si="1"/>
        <v>52</v>
      </c>
      <c r="NH9" s="3">
        <f t="shared" si="2"/>
        <v>0</v>
      </c>
      <c r="NI9" s="3">
        <f t="shared" si="3"/>
        <v>0</v>
      </c>
    </row>
    <row r="10">
      <c r="A10" s="3" t="str">
        <f>'0_Key'!A9</f>
        <v>High</v>
      </c>
      <c r="B10" s="3" t="str">
        <f>'0_Key'!B9</f>
        <v>Family</v>
      </c>
      <c r="C10" s="3" t="str">
        <f>'0_Key'!D9</f>
        <v>Weekly</v>
      </c>
      <c r="D10" s="3" t="str">
        <f>'0_Key'!E9</f>
        <v>Sun</v>
      </c>
      <c r="E10" s="3" t="str">
        <f>'0_Key'!C9</f>
        <v>Breakfast / Lunch / Dinner</v>
      </c>
      <c r="J10" s="3" t="s">
        <v>66</v>
      </c>
      <c r="Q10" s="3" t="s">
        <v>66</v>
      </c>
      <c r="X10" s="3" t="s">
        <v>66</v>
      </c>
      <c r="AE10" s="3" t="s">
        <v>66</v>
      </c>
      <c r="AL10" s="3" t="s">
        <v>66</v>
      </c>
      <c r="AS10" s="3" t="s">
        <v>66</v>
      </c>
      <c r="AZ10" s="3" t="s">
        <v>66</v>
      </c>
      <c r="BG10" s="3" t="s">
        <v>66</v>
      </c>
      <c r="BN10" s="3" t="s">
        <v>66</v>
      </c>
      <c r="BU10" s="3" t="s">
        <v>66</v>
      </c>
      <c r="CB10" s="3" t="s">
        <v>66</v>
      </c>
      <c r="CI10" s="3" t="s">
        <v>66</v>
      </c>
      <c r="CP10" s="3" t="s">
        <v>66</v>
      </c>
      <c r="CW10" s="3" t="s">
        <v>66</v>
      </c>
      <c r="DD10" s="3" t="s">
        <v>66</v>
      </c>
      <c r="DK10" s="3" t="s">
        <v>66</v>
      </c>
      <c r="DR10" s="3" t="s">
        <v>66</v>
      </c>
      <c r="DY10" s="3" t="s">
        <v>66</v>
      </c>
      <c r="EF10" s="3" t="s">
        <v>66</v>
      </c>
      <c r="EM10" s="3" t="s">
        <v>66</v>
      </c>
      <c r="ET10" s="3" t="s">
        <v>66</v>
      </c>
      <c r="FA10" s="3" t="s">
        <v>66</v>
      </c>
      <c r="FH10" s="3" t="s">
        <v>66</v>
      </c>
      <c r="FO10" s="3" t="s">
        <v>66</v>
      </c>
      <c r="FV10" s="3" t="s">
        <v>66</v>
      </c>
      <c r="GC10" s="3" t="s">
        <v>66</v>
      </c>
      <c r="GJ10" s="3" t="s">
        <v>66</v>
      </c>
      <c r="GQ10" s="3" t="s">
        <v>66</v>
      </c>
      <c r="GX10" s="3" t="s">
        <v>66</v>
      </c>
      <c r="HE10" s="3" t="s">
        <v>66</v>
      </c>
      <c r="HL10" s="3" t="s">
        <v>66</v>
      </c>
      <c r="HS10" s="3" t="s">
        <v>66</v>
      </c>
      <c r="HZ10" s="3" t="s">
        <v>66</v>
      </c>
      <c r="IG10" s="3" t="s">
        <v>66</v>
      </c>
      <c r="IN10" s="3" t="s">
        <v>66</v>
      </c>
      <c r="IU10" s="3" t="s">
        <v>66</v>
      </c>
      <c r="JB10" s="3" t="s">
        <v>66</v>
      </c>
      <c r="JI10" s="3" t="s">
        <v>66</v>
      </c>
      <c r="JP10" s="3" t="s">
        <v>66</v>
      </c>
      <c r="JW10" s="3" t="s">
        <v>66</v>
      </c>
      <c r="KD10" s="3" t="s">
        <v>66</v>
      </c>
      <c r="KK10" s="3" t="s">
        <v>66</v>
      </c>
      <c r="KR10" s="3" t="s">
        <v>66</v>
      </c>
      <c r="KY10" s="3" t="s">
        <v>66</v>
      </c>
      <c r="LF10" s="3" t="s">
        <v>66</v>
      </c>
      <c r="LM10" s="3" t="s">
        <v>66</v>
      </c>
      <c r="LT10" s="3" t="s">
        <v>66</v>
      </c>
      <c r="MA10" s="3" t="s">
        <v>66</v>
      </c>
      <c r="MH10" s="3" t="s">
        <v>66</v>
      </c>
      <c r="MO10" s="3" t="s">
        <v>66</v>
      </c>
      <c r="MV10" s="3" t="s">
        <v>66</v>
      </c>
      <c r="NC10" s="3" t="s">
        <v>66</v>
      </c>
      <c r="NG10" s="3">
        <f t="shared" si="1"/>
        <v>52</v>
      </c>
      <c r="NH10" s="3">
        <f t="shared" si="2"/>
        <v>0</v>
      </c>
      <c r="NI10" s="3">
        <f t="shared" si="3"/>
        <v>0</v>
      </c>
    </row>
    <row r="11">
      <c r="A11" s="3" t="str">
        <f>'0_Key'!A10</f>
        <v>Medium</v>
      </c>
      <c r="B11" s="3" t="str">
        <f>'0_Key'!B10</f>
        <v>Travel</v>
      </c>
      <c r="C11" s="3" t="str">
        <f>'0_Key'!D10</f>
        <v>Weekly</v>
      </c>
      <c r="D11" s="3" t="str">
        <f>'0_Key'!E11</f>
        <v>Sun</v>
      </c>
      <c r="E11" s="3" t="str">
        <f>'0_Key'!C10</f>
        <v>Q1 '25 - Q3 '25 APAC Trip</v>
      </c>
      <c r="Q11" s="3" t="s">
        <v>66</v>
      </c>
      <c r="X11" s="3" t="s">
        <v>66</v>
      </c>
      <c r="AE11" s="3" t="s">
        <v>66</v>
      </c>
      <c r="AL11" s="3" t="s">
        <v>66</v>
      </c>
      <c r="AS11" s="3" t="s">
        <v>66</v>
      </c>
      <c r="AZ11" s="3" t="s">
        <v>66</v>
      </c>
      <c r="BG11" s="3" t="s">
        <v>66</v>
      </c>
      <c r="BN11" s="3" t="s">
        <v>66</v>
      </c>
      <c r="BU11" s="3" t="s">
        <v>66</v>
      </c>
      <c r="CB11" s="3" t="s">
        <v>66</v>
      </c>
      <c r="CI11" s="3" t="s">
        <v>66</v>
      </c>
      <c r="CP11" s="3" t="s">
        <v>66</v>
      </c>
      <c r="CW11" s="3" t="s">
        <v>66</v>
      </c>
      <c r="DD11" s="3" t="s">
        <v>66</v>
      </c>
      <c r="DK11" s="3" t="s">
        <v>66</v>
      </c>
      <c r="DR11" s="3" t="s">
        <v>66</v>
      </c>
      <c r="DY11" s="3" t="s">
        <v>66</v>
      </c>
      <c r="EF11" s="3" t="s">
        <v>66</v>
      </c>
      <c r="EM11" s="3" t="s">
        <v>66</v>
      </c>
      <c r="ET11" s="3" t="s">
        <v>66</v>
      </c>
      <c r="FA11" s="3" t="s">
        <v>66</v>
      </c>
      <c r="FH11" s="3" t="s">
        <v>66</v>
      </c>
      <c r="FO11" s="3" t="s">
        <v>66</v>
      </c>
      <c r="FV11" s="3" t="s">
        <v>66</v>
      </c>
      <c r="GC11" s="3" t="s">
        <v>66</v>
      </c>
      <c r="GJ11" s="3" t="s">
        <v>66</v>
      </c>
      <c r="GQ11" s="3" t="s">
        <v>66</v>
      </c>
      <c r="GX11" s="3" t="s">
        <v>66</v>
      </c>
      <c r="HE11" s="3" t="s">
        <v>66</v>
      </c>
      <c r="HL11" s="3" t="s">
        <v>66</v>
      </c>
      <c r="HS11" s="3" t="s">
        <v>66</v>
      </c>
      <c r="HZ11" s="3" t="s">
        <v>66</v>
      </c>
      <c r="IG11" s="3" t="s">
        <v>66</v>
      </c>
      <c r="IN11" s="3" t="s">
        <v>66</v>
      </c>
      <c r="IU11" s="3" t="s">
        <v>66</v>
      </c>
      <c r="JB11" s="3" t="s">
        <v>66</v>
      </c>
      <c r="JI11" s="3" t="s">
        <v>66</v>
      </c>
      <c r="JP11" s="3" t="s">
        <v>66</v>
      </c>
      <c r="JW11" s="3" t="s">
        <v>66</v>
      </c>
      <c r="KD11" s="3" t="s">
        <v>66</v>
      </c>
      <c r="KK11" s="3" t="s">
        <v>66</v>
      </c>
      <c r="KR11" s="3" t="s">
        <v>66</v>
      </c>
      <c r="KY11" s="3" t="s">
        <v>66</v>
      </c>
      <c r="LF11" s="3" t="s">
        <v>66</v>
      </c>
      <c r="LM11" s="3" t="s">
        <v>66</v>
      </c>
      <c r="LT11" s="3" t="s">
        <v>66</v>
      </c>
      <c r="MA11" s="3" t="s">
        <v>66</v>
      </c>
      <c r="MH11" s="3" t="s">
        <v>66</v>
      </c>
      <c r="MO11" s="3" t="s">
        <v>66</v>
      </c>
      <c r="MV11" s="3" t="s">
        <v>66</v>
      </c>
      <c r="NC11" s="3" t="s">
        <v>66</v>
      </c>
      <c r="NG11" s="3">
        <f t="shared" si="1"/>
        <v>51</v>
      </c>
      <c r="NH11" s="3">
        <f t="shared" si="2"/>
        <v>0</v>
      </c>
      <c r="NI11" s="3">
        <f t="shared" si="3"/>
        <v>0</v>
      </c>
    </row>
    <row r="12">
      <c r="A12" s="3" t="str">
        <f>'0_Key'!A11</f>
        <v>Medium</v>
      </c>
      <c r="B12" s="3" t="str">
        <f>'0_Key'!B11</f>
        <v>Spiritual</v>
      </c>
      <c r="C12" s="3" t="str">
        <f>'0_Key'!D11</f>
        <v>Bi-Weekly</v>
      </c>
      <c r="D12" s="3" t="str">
        <f>'0_Key'!E10</f>
        <v>Sun</v>
      </c>
      <c r="E12" s="3" t="str">
        <f>'0_Key'!C11</f>
        <v>Church / Philanthropy / Charity</v>
      </c>
      <c r="Q12" s="3" t="s">
        <v>66</v>
      </c>
      <c r="AE12" s="3" t="s">
        <v>66</v>
      </c>
      <c r="AS12" s="3" t="s">
        <v>66</v>
      </c>
      <c r="BG12" s="3" t="s">
        <v>66</v>
      </c>
      <c r="BU12" s="3" t="s">
        <v>66</v>
      </c>
      <c r="CI12" s="3" t="s">
        <v>66</v>
      </c>
      <c r="CW12" s="3" t="s">
        <v>66</v>
      </c>
      <c r="DK12" s="3" t="s">
        <v>66</v>
      </c>
      <c r="DY12" s="3" t="s">
        <v>66</v>
      </c>
      <c r="EM12" s="3" t="s">
        <v>66</v>
      </c>
      <c r="FA12" s="3" t="s">
        <v>66</v>
      </c>
      <c r="FO12" s="3" t="s">
        <v>66</v>
      </c>
      <c r="GC12" s="3" t="s">
        <v>66</v>
      </c>
      <c r="GQ12" s="3" t="s">
        <v>66</v>
      </c>
      <c r="HE12" s="3" t="s">
        <v>66</v>
      </c>
      <c r="HS12" s="3" t="s">
        <v>66</v>
      </c>
      <c r="IG12" s="3" t="s">
        <v>66</v>
      </c>
      <c r="IU12" s="3" t="s">
        <v>66</v>
      </c>
      <c r="JI12" s="3" t="s">
        <v>66</v>
      </c>
      <c r="JW12" s="3" t="s">
        <v>66</v>
      </c>
      <c r="KK12" s="3" t="s">
        <v>66</v>
      </c>
      <c r="KY12" s="3" t="s">
        <v>66</v>
      </c>
      <c r="LM12" s="3" t="s">
        <v>66</v>
      </c>
      <c r="MA12" s="3" t="s">
        <v>66</v>
      </c>
      <c r="MO12" s="3" t="s">
        <v>66</v>
      </c>
      <c r="NC12" s="3" t="s">
        <v>66</v>
      </c>
      <c r="NG12" s="3">
        <f t="shared" si="1"/>
        <v>26</v>
      </c>
      <c r="NH12" s="3">
        <f t="shared" si="2"/>
        <v>0</v>
      </c>
      <c r="NI12" s="3">
        <f t="shared" si="3"/>
        <v>0</v>
      </c>
    </row>
    <row r="13">
      <c r="E13" s="13" t="s">
        <v>69</v>
      </c>
      <c r="NG13" s="14">
        <f t="shared" ref="NG13:NI13" si="4">SUM(NG3:NG12)</f>
        <v>1486</v>
      </c>
      <c r="NH13" s="14">
        <f t="shared" si="4"/>
        <v>5</v>
      </c>
      <c r="NI13" s="14">
        <f t="shared" si="4"/>
        <v>1</v>
      </c>
    </row>
    <row r="14">
      <c r="E14" s="1"/>
    </row>
    <row r="15">
      <c r="A15" s="3" t="s">
        <v>70</v>
      </c>
      <c r="C15" s="15">
        <f>TODAY()</f>
        <v>46246</v>
      </c>
      <c r="D15" s="16"/>
      <c r="E15" s="1"/>
    </row>
    <row r="16">
      <c r="A16" s="3" t="s">
        <v>37</v>
      </c>
      <c r="C16" s="3" t="s">
        <v>66</v>
      </c>
      <c r="D16" s="3">
        <f>NG13</f>
        <v>1486</v>
      </c>
      <c r="E16" s="1"/>
    </row>
    <row r="17">
      <c r="A17" s="3" t="s">
        <v>17</v>
      </c>
      <c r="C17" s="17" t="s">
        <v>67</v>
      </c>
      <c r="D17" s="3">
        <f>NH13</f>
        <v>5</v>
      </c>
      <c r="E17" s="1"/>
    </row>
    <row r="18">
      <c r="A18" s="3" t="s">
        <v>71</v>
      </c>
      <c r="C18" s="18" t="s">
        <v>62</v>
      </c>
      <c r="D18" s="3">
        <f>NI13</f>
        <v>1</v>
      </c>
      <c r="E18" s="1"/>
    </row>
    <row r="19">
      <c r="E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6">
    <cfRule type="containsText" dxfId="2" priority="1" operator="containsText" text="NS">
      <formula>NOT(ISERROR(SEARCH(("NS"),(C16))))</formula>
    </cfRule>
  </conditionalFormatting>
  <conditionalFormatting sqref="C16">
    <cfRule type="beginsWith" dxfId="0" priority="2" operator="beginsWith" text="C">
      <formula>LEFT((C16),LEN("C"))=("C")</formula>
    </cfRule>
  </conditionalFormatting>
  <conditionalFormatting sqref="C16">
    <cfRule type="containsText" dxfId="1" priority="3" operator="containsText" text="I">
      <formula>NOT(ISERROR(SEARCH(("I"),(C16))))</formula>
    </cfRule>
  </conditionalFormatting>
  <conditionalFormatting sqref="F1:NF1">
    <cfRule type="timePeriod" dxfId="3" priority="4" timePeriod="today"/>
  </conditionalFormatting>
  <conditionalFormatting sqref="F3:NF13">
    <cfRule type="containsText" dxfId="2" priority="5" operator="containsText" text="NS">
      <formula>NOT(ISERROR(SEARCH(("NS"),(F3))))</formula>
    </cfRule>
  </conditionalFormatting>
  <conditionalFormatting sqref="F3:NF13">
    <cfRule type="beginsWith" dxfId="4" priority="6" operator="beginsWith" text="C">
      <formula>LEFT((F3),LEN("C"))=("C")</formula>
    </cfRule>
  </conditionalFormatting>
  <conditionalFormatting sqref="F3:NF13">
    <cfRule type="containsText" dxfId="1" priority="7" operator="containsText" text="F">
      <formula>NOT(ISERROR(SEARCH(("F"),(F3))))</formula>
    </cfRule>
  </conditionalFormatting>
  <conditionalFormatting sqref="NG1:NI1">
    <cfRule type="beginsWith" dxfId="0" priority="8" operator="beginsWith" text="S">
      <formula>LEFT((NG1),LEN("S"))=("S")</formula>
    </cfRule>
  </conditionalFormatting>
  <conditionalFormatting sqref="NG1:NI1">
    <cfRule type="containsText" dxfId="1" priority="9" operator="containsText" text="DNS">
      <formula>NOT(ISERROR(SEARCH(("DNS"),(NG1))))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28.86"/>
    <col customWidth="1" min="2" max="4" width="8.71"/>
    <col customWidth="1" min="5" max="5" width="14.86"/>
    <col customWidth="1" min="6" max="6" width="8.57"/>
    <col customWidth="1" min="7" max="7" width="12.43"/>
    <col customWidth="1" min="8" max="26" width="8.71"/>
  </cols>
  <sheetData>
    <row r="1">
      <c r="B1" s="2" t="s">
        <v>8</v>
      </c>
      <c r="C1" s="2" t="s">
        <v>12</v>
      </c>
      <c r="D1" s="2"/>
    </row>
    <row r="2">
      <c r="A2" s="5" t="s">
        <v>16</v>
      </c>
      <c r="B2" s="3">
        <f>ROUNDDOWN(('1_Data'!E1-'1_Data'!F1)/7,0)</f>
        <v>84</v>
      </c>
      <c r="C2" s="8">
        <f t="shared" ref="C2:C3" si="1">B2/52</f>
        <v>1.615384615</v>
      </c>
      <c r="D2" s="8"/>
    </row>
    <row r="3">
      <c r="A3" s="5" t="s">
        <v>42</v>
      </c>
      <c r="B3" s="3">
        <f>52-B2</f>
        <v>-32</v>
      </c>
      <c r="C3" s="8">
        <f t="shared" si="1"/>
        <v>-0.6153846154</v>
      </c>
      <c r="D3" s="8"/>
    </row>
    <row r="4">
      <c r="A4" s="5" t="s">
        <v>50</v>
      </c>
      <c r="B4" s="3">
        <f>ROUNDDOWN(('1_Data'!E1-'1_Data'!F1)/1,0)</f>
        <v>588</v>
      </c>
      <c r="C4" s="8">
        <f t="shared" ref="C4:C5" si="2">B4/365</f>
        <v>1.610958904</v>
      </c>
      <c r="D4" s="8"/>
    </row>
    <row r="5">
      <c r="A5" s="5" t="s">
        <v>60</v>
      </c>
      <c r="B5" s="3">
        <f>365-B4</f>
        <v>-223</v>
      </c>
      <c r="C5" s="8">
        <f t="shared" si="2"/>
        <v>-0.6109589041</v>
      </c>
      <c r="D5" s="8"/>
    </row>
    <row r="6">
      <c r="C6" s="9"/>
      <c r="D6" s="9"/>
    </row>
    <row r="7">
      <c r="B7" s="10" t="str">
        <f>'1_Data'!NG1</f>
        <v>NS</v>
      </c>
      <c r="C7" s="10" t="str">
        <f>'1_Data'!NH1</f>
        <v>C</v>
      </c>
      <c r="D7" s="10" t="s">
        <v>62</v>
      </c>
      <c r="E7" s="2" t="s">
        <v>63</v>
      </c>
      <c r="F7" s="2" t="s">
        <v>64</v>
      </c>
      <c r="G7" s="2" t="s">
        <v>65</v>
      </c>
    </row>
    <row r="8">
      <c r="A8" s="5" t="str">
        <f>'1_Data'!E3</f>
        <v>AI Practitioner / Certifications</v>
      </c>
      <c r="B8" s="3">
        <f>'1_Data'!NG3</f>
        <v>363</v>
      </c>
      <c r="C8" s="3">
        <f>'1_Data'!NH3</f>
        <v>2</v>
      </c>
      <c r="D8" s="3">
        <f>'1_Data'!NI3</f>
        <v>0</v>
      </c>
      <c r="E8" s="3">
        <v>208.0</v>
      </c>
      <c r="F8" s="8">
        <f t="shared" ref="F8:F15" si="3">C8/E8</f>
        <v>0.009615384615</v>
      </c>
      <c r="G8" s="3">
        <f t="shared" ref="G8:G15" si="4">$B$5-E8</f>
        <v>-431</v>
      </c>
    </row>
    <row r="9">
      <c r="A9" s="5" t="str">
        <f>'1_Data'!E4</f>
        <v>Speed Ball / Bike / Run</v>
      </c>
      <c r="B9" s="3">
        <f>'1_Data'!NG4</f>
        <v>363</v>
      </c>
      <c r="C9" s="3">
        <f>'1_Data'!NH4</f>
        <v>1</v>
      </c>
      <c r="D9" s="3">
        <f>'1_Data'!NI4</f>
        <v>1</v>
      </c>
      <c r="E9" s="3">
        <v>208.0</v>
      </c>
      <c r="F9" s="8">
        <f t="shared" si="3"/>
        <v>0.004807692308</v>
      </c>
      <c r="G9" s="3">
        <f t="shared" si="4"/>
        <v>-431</v>
      </c>
    </row>
    <row r="10">
      <c r="A10" s="5" t="str">
        <f>'1_Data'!E5</f>
        <v>Project Health</v>
      </c>
      <c r="B10" s="3">
        <f>'1_Data'!NG5</f>
        <v>364</v>
      </c>
      <c r="C10" s="3">
        <f>'1_Data'!NH5</f>
        <v>1</v>
      </c>
      <c r="D10" s="3">
        <f>'1_Data'!NI5</f>
        <v>0</v>
      </c>
      <c r="E10" s="3">
        <v>300.0</v>
      </c>
      <c r="F10" s="8">
        <f t="shared" si="3"/>
        <v>0.003333333333</v>
      </c>
      <c r="G10" s="3">
        <f t="shared" si="4"/>
        <v>-523</v>
      </c>
    </row>
    <row r="11">
      <c r="A11" s="5" t="str">
        <f>'1_Data'!E6</f>
        <v>Journaling</v>
      </c>
      <c r="B11" s="3">
        <f>'1_Data'!NG6</f>
        <v>51</v>
      </c>
      <c r="C11" s="3">
        <f>'1_Data'!NH6</f>
        <v>1</v>
      </c>
      <c r="D11" s="3">
        <f>'1_Data'!NI6</f>
        <v>0</v>
      </c>
      <c r="E11" s="3">
        <v>100.0</v>
      </c>
      <c r="F11" s="8">
        <f t="shared" si="3"/>
        <v>0.01</v>
      </c>
      <c r="G11" s="3">
        <f t="shared" si="4"/>
        <v>-323</v>
      </c>
    </row>
    <row r="12">
      <c r="A12" s="5" t="str">
        <f>'1_Data'!E7</f>
        <v>Water Plants</v>
      </c>
      <c r="B12" s="3">
        <f>'1_Data'!NG7</f>
        <v>52</v>
      </c>
      <c r="C12" s="3">
        <f>'1_Data'!NH7</f>
        <v>0</v>
      </c>
      <c r="D12" s="3">
        <f>'1_Data'!NI7</f>
        <v>0</v>
      </c>
      <c r="E12" s="3">
        <v>300.0</v>
      </c>
      <c r="F12" s="8">
        <f t="shared" si="3"/>
        <v>0</v>
      </c>
      <c r="G12" s="3">
        <f t="shared" si="4"/>
        <v>-523</v>
      </c>
    </row>
    <row r="13">
      <c r="A13" s="5" t="str">
        <f>'1_Data'!E8</f>
        <v>SmallBiz / Media Production</v>
      </c>
      <c r="B13" s="3">
        <f>'1_Data'!NG8</f>
        <v>112</v>
      </c>
      <c r="C13" s="3">
        <f>'1_Data'!NH8</f>
        <v>0</v>
      </c>
      <c r="D13" s="3">
        <f>'1_Data'!NI8</f>
        <v>0</v>
      </c>
      <c r="E13" s="3">
        <v>320.0</v>
      </c>
      <c r="F13" s="8">
        <f t="shared" si="3"/>
        <v>0</v>
      </c>
      <c r="G13" s="3">
        <f t="shared" si="4"/>
        <v>-543</v>
      </c>
    </row>
    <row r="14">
      <c r="A14" s="5" t="str">
        <f>'1_Data'!E9</f>
        <v>Drone</v>
      </c>
      <c r="B14" s="3">
        <f>'1_Data'!NG9</f>
        <v>52</v>
      </c>
      <c r="C14" s="3">
        <f>'1_Data'!NH9</f>
        <v>0</v>
      </c>
      <c r="D14" s="3">
        <f>'1_Data'!NI9</f>
        <v>0</v>
      </c>
      <c r="E14" s="3">
        <v>250.0</v>
      </c>
      <c r="F14" s="8">
        <f t="shared" si="3"/>
        <v>0</v>
      </c>
      <c r="G14" s="3">
        <f t="shared" si="4"/>
        <v>-473</v>
      </c>
    </row>
    <row r="15">
      <c r="A15" s="5" t="str">
        <f>'1_Data'!E10</f>
        <v>Breakfast / Lunch / Dinner</v>
      </c>
      <c r="B15" s="3">
        <f>'1_Data'!NG10</f>
        <v>52</v>
      </c>
      <c r="C15" s="3">
        <f>'1_Data'!NH10</f>
        <v>0</v>
      </c>
      <c r="D15" s="3">
        <f>'1_Data'!NI10</f>
        <v>0</v>
      </c>
      <c r="E15" s="3">
        <v>250.0</v>
      </c>
      <c r="F15" s="8">
        <f t="shared" si="3"/>
        <v>0</v>
      </c>
      <c r="G15" s="3">
        <f t="shared" si="4"/>
        <v>-473</v>
      </c>
    </row>
    <row r="16">
      <c r="A16" s="5" t="str">
        <f>'1_Data'!E11</f>
        <v>Q1 '25 - Q3 '25 APAC Trip</v>
      </c>
      <c r="B16" s="3">
        <f>'1_Data'!NG11</f>
        <v>51</v>
      </c>
      <c r="C16" s="3">
        <f>'1_Data'!NH11</f>
        <v>0</v>
      </c>
      <c r="D16" s="3">
        <f>'1_Data'!NI11</f>
        <v>0</v>
      </c>
      <c r="F16" s="8"/>
    </row>
    <row r="17">
      <c r="A17" s="5" t="str">
        <f>'1_Data'!E12</f>
        <v>Church / Philanthropy / Charity</v>
      </c>
      <c r="B17" s="3">
        <f>'1_Data'!NG12</f>
        <v>26</v>
      </c>
      <c r="C17" s="3">
        <f>'1_Data'!NH12</f>
        <v>0</v>
      </c>
      <c r="D17" s="3">
        <f>'1_Data'!NI12</f>
        <v>0</v>
      </c>
      <c r="F17" s="8"/>
    </row>
    <row r="18">
      <c r="B18" s="1">
        <f t="shared" ref="B18:D18" si="5">SUM(B8:B17)</f>
        <v>1486</v>
      </c>
      <c r="C18" s="1">
        <f t="shared" si="5"/>
        <v>5</v>
      </c>
      <c r="D18" s="1">
        <f t="shared" si="5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7:D7">
    <cfRule type="beginsWith" dxfId="0" priority="1" operator="beginsWith" text="S">
      <formula>LEFT((B7),LEN("S"))=("S")</formula>
    </cfRule>
  </conditionalFormatting>
  <conditionalFormatting sqref="B7:D7">
    <cfRule type="containsText" dxfId="1" priority="2" operator="containsText" text="DNS">
      <formula>NOT(ISERROR(SEARCH(("DNS"),(B7))))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2023-01-04T22:05:15Z</dcterms:created>
  <dc:creator>Bolanos, Daniel</dc:creator>
</cp:coreProperties>
</file>